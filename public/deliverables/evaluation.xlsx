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8d6cd3992e48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汇总" sheetId="1" r:id="R6be8b4fc8d164335"/>
    <x:sheet xmlns:r="http://schemas.openxmlformats.org/officeDocument/2006/relationships" name="执行记录" sheetId="2" r:id="R48fb41c82e0a442f"/>
    <x:sheet xmlns:r="http://schemas.openxmlformats.org/officeDocument/2006/relationships" name="用户任务记录" sheetId="3" r:id="R0d897662174e47bb"/>
    <x:sheet xmlns:r="http://schemas.openxmlformats.org/officeDocument/2006/relationships" name="测试用例" sheetId="4" r:id="Red975c7e66ae4d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0.0%"/>
    <x:numFmt numFmtId="202" formatCode="0.0"/>
    <x:numFmt numFmtId="203" formatCode="0.00"/>
  </x:numFmts>
  <x:fonts count="6">
    <x:font>
      <x:sz val="11"/>
      <x:name val="Carlito"/>
    </x:font>
    <x:font>
      <x:sz val="11"/>
      <x:color rgb="FF171717"/>
      <x:name val="Microsoft YaHei"/>
    </x:font>
    <x:font>
      <x:b/>
      <x:sz val="21"/>
      <x:color rgb="FF171717"/>
      <x:name val="Microsoft YaHei"/>
    </x:font>
    <x:font>
      <x:b/>
      <x:sz val="11"/>
      <x:color rgb="FFFFFFFF"/>
      <x:name val="Microsoft YaHei"/>
    </x:font>
    <x:font>
      <x:sz val="11"/>
      <x:color rgb="FF2563EB"/>
      <x:name val="Microsoft YaHei"/>
    </x:font>
    <x:font>
      <x:sz val="11"/>
      <x:color rgb="FF666666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1717"/>
      </x:patternFill>
    </x:fill>
    <x:fill>
      <x:patternFill patternType="solid">
        <x:fgColor rgb="FFEFF6FF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4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3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0adb70267b4c07" /><Relationship Type="http://schemas.openxmlformats.org/officeDocument/2006/relationships/theme" Target="/xl/theme/theme1.xml" Id="R6cca06c4bebd49a8" /><Relationship Type="http://schemas.openxmlformats.org/officeDocument/2006/relationships/sharedStrings" Target="/xl/sharedStrings.xml" Id="R4f9702e4c14c4eb4" /><Relationship Type="http://schemas.openxmlformats.org/officeDocument/2006/relationships/worksheet" Target="/xl/worksheets/sheet1.xml" Id="R6be8b4fc8d164335" /><Relationship Type="http://schemas.openxmlformats.org/officeDocument/2006/relationships/worksheet" Target="/xl/worksheets/sheet2.xml" Id="R48fb41c82e0a442f" /><Relationship Type="http://schemas.openxmlformats.org/officeDocument/2006/relationships/worksheet" Target="/xl/worksheets/sheet3.xml" Id="R0d897662174e47bb" /><Relationship Type="http://schemas.openxmlformats.org/officeDocument/2006/relationships/worksheet" Target="/xl/worksheets/sheet4.xml" Id="Red975c7e66ae4d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22" hidden="0" customWidth="1"/>
    <x:col min="3" max="3" width="24" hidden="0" customWidth="1"/>
    <x:col min="4" max="4" width="25" hidden="0" customWidth="1"/>
    <x:col min="5" max="5" width="32" hidden="0" customWidth="1"/>
    <x:col min="6" max="6" width="27" hidden="0" customWidth="1"/>
  </x:cols>
  <x:sheetData>
    <x:row r="1" ht="30" customHeight="1">
      <x:c r="A1" s="3"/>
      <x:c r="B1" s="3"/>
      <x:c r="C1" s="3"/>
      <x:c r="D1" s="3"/>
      <x:c r="E1" s="3"/>
      <x:c r="F1" s="3"/>
    </x:row>
    <x:row r="2" ht="40" customHeight="1">
      <x:c r="A2" s="4" t="str">
        <x:v>知序 / 评测结果汇总</x:v>
      </x:c>
      <x:c r="B2" s="3"/>
      <x:c r="C2" s="3"/>
      <x:c r="D2" s="3"/>
      <x:c r="E2" s="3"/>
      <x:c r="F2" s="3"/>
    </x:row>
    <x:row r="3" ht="32" customHeight="1">
      <x:c r="A3" s="3" t="str">
        <x:v>评审初稿 · 所有实验记录待执行；门槛为拟议值。</x:v>
      </x:c>
      <x:c r="B3" s="3"/>
      <x:c r="C3" s="3"/>
      <x:c r="D3" s="3"/>
      <x:c r="E3" s="3"/>
      <x:c r="F3" s="3"/>
    </x:row>
    <x:row r="4" ht="30" customHeight="1">
      <x:c r="A4" s="3"/>
      <x:c r="B4" s="3"/>
      <x:c r="C4" s="3"/>
      <x:c r="D4" s="3"/>
      <x:c r="E4" s="3"/>
      <x:c r="F4" s="3"/>
    </x:row>
    <x:row r="5" ht="42" customHeight="1">
      <x:c r="A5" s="6" t="str">
        <x:v>指标</x:v>
      </x:c>
      <x:c r="B5" s="6" t="str">
        <x:v>实际结果</x:v>
      </x:c>
      <x:c r="C5" s="6" t="str">
        <x:v>拟议门槛</x:v>
      </x:c>
      <x:c r="D5" s="6" t="str">
        <x:v>判定</x:v>
      </x:c>
      <x:c r="E5" s="3"/>
      <x:c r="F5" s="3"/>
    </x:row>
    <x:row r="6" ht="30" customHeight="1">
      <x:c r="A6" s="3" t="str">
        <x:v>原型流程测试通过数</x:v>
      </x:c>
      <x:c r="B6" s="19" t="n">
        <x:f>COUNTIF('执行记录'!K6:K17,"通过")</x:f>
        <x:v>0</x:v>
      </x:c>
      <x:c r="C6" s="19" t="str">
        <x:v>12项全部通过</x:v>
      </x:c>
      <x:c r="D6" s="19" t="str">
        <x:f>IF(B6=12,"通过","待完成")</x:f>
        <x:v>待完成</x:v>
      </x:c>
      <x:c r="E6" s="3"/>
      <x:c r="F6" s="3"/>
    </x:row>
    <x:row r="7" ht="30" customHeight="1">
      <x:c r="A7" s="3" t="str">
        <x:v>接入后测试通过数</x:v>
      </x:c>
      <x:c r="B7" s="19" t="n">
        <x:f>COUNTIF('执行记录'!K18:K25,"通过")</x:f>
        <x:v>0</x:v>
      </x:c>
      <x:c r="C7" s="19" t="str">
        <x:v>8项全部通过</x:v>
      </x:c>
      <x:c r="D7" s="19" t="str">
        <x:f>IF(B7=8,"通过","待完成")</x:f>
        <x:v>待完成</x:v>
      </x:c>
      <x:c r="E7" s="3"/>
      <x:c r="F7" s="3"/>
    </x:row>
    <x:row r="8" ht="30" customHeight="1">
      <x:c r="A8" s="3" t="str">
        <x:v>有效配对人数</x:v>
      </x:c>
      <x:c r="B8" s="19" t="n">
        <x:f>COUNTIF('用户任务记录'!L6:L25,"完整")</x:f>
        <x:v>0</x:v>
      </x:c>
      <x:c r="C8" s="19" t="str">
        <x:v>至少12人</x:v>
      </x:c>
      <x:c r="D8" s="19" t="str">
        <x:f>IF(B8&gt;=12,"通过","样本不足")</x:f>
        <x:v>样本不足</x:v>
      </x:c>
      <x:c r="E8" s="3"/>
      <x:c r="F8" s="3"/>
    </x:row>
    <x:row r="9" ht="30" customHeight="1">
      <x:c r="A9" s="3" t="str">
        <x:v>时间收益中位数</x:v>
      </x:c>
      <x:c r="B9" s="20" t="str">
        <x:f>IF(B8=0,"待执行",MEDIAN('用户任务记录'!M6:M25))</x:f>
        <x:v>待执行</x:v>
      </x:c>
      <x:c r="C9" s="19" t="str">
        <x:v>≥20%（对比B）</x:v>
      </x:c>
      <x:c r="D9" s="19" t="str">
        <x:f>IF(B8&lt;12,"样本不足",IF(B9&gt;=0.2,"通过","未达标"))</x:f>
        <x:v>样本不足</x:v>
      </x:c>
      <x:c r="E9" s="3"/>
      <x:c r="F9" s="3"/>
    </x:row>
    <x:row r="10" ht="30" customHeight="1">
      <x:c r="A10" s="3" t="str">
        <x:v>质量平均变化</x:v>
      </x:c>
      <x:c r="B10" s="21" t="str">
        <x:f>IF(B8=0,"待执行",AVERAGE('用户任务记录'!N6:N25))</x:f>
        <x:v>待执行</x:v>
      </x:c>
      <x:c r="C10" s="19" t="str">
        <x:v>≥−0.2 / 5分</x:v>
      </x:c>
      <x:c r="D10" s="19" t="str">
        <x:f>IF(B8&lt;12,"样本不足",IF(B10&gt;=-0.2,"通过","未达标"))</x:f>
        <x:v>样本不足</x:v>
      </x:c>
      <x:c r="E10" s="3"/>
      <x:c r="F10" s="3"/>
    </x:row>
    <x:row r="11" ht="30" customHeight="1">
      <x:c r="A11" s="3" t="str">
        <x:v>提醒有用率</x:v>
      </x:c>
      <x:c r="B11" s="20" t="str">
        <x:f>IF(OR(B8=0,SUMIF('用户任务记录'!L6:L25,"完整",'用户任务记录'!I6:I25)=0),"无有效提醒",SUMIF('用户任务记录'!L6:L25,"完整",'用户任务记录'!J6:J25)/SUMIF('用户任务记录'!L6:L25,"完整",'用户任务记录'!I6:I25))</x:f>
        <x:v>无有效提醒</x:v>
      </x:c>
      <x:c r="C11" s="19" t="str">
        <x:v>≥70%</x:v>
      </x:c>
      <x:c r="D11" s="19" t="str">
        <x:f>IF(OR(B8&lt;12,COUNTIF('用户任务记录'!L6:L25,"缺记录")&gt;0,COUNTIF('用户任务记录'!L6:L25,"输入有误")&gt;0,COUNTIF('用户任务记录'!L6:L25,"重复ID")&gt;0),"待完善记录",IF(ISNUMBER(B11),IF(B11&gt;=0.7,"通过","未达标"),"待执行"))</x:f>
        <x:v>待完善记录</x:v>
      </x:c>
      <x:c r="E11" s="3"/>
      <x:c r="F11" s="3"/>
    </x:row>
    <x:row r="12" ht="30" customHeight="1">
      <x:c r="A12" s="3" t="str">
        <x:v>打扰次数中位数</x:v>
      </x:c>
      <x:c r="B12" s="19" t="str">
        <x:f>IF(B8=0,"待执行",MEDIAN('用户任务记录'!O6:O25))</x:f>
        <x:v>待执行</x:v>
      </x:c>
      <x:c r="C12" s="19" t="str">
        <x:v>≤1次 / 任务</x:v>
      </x:c>
      <x:c r="D12" s="19" t="str">
        <x:f>IF(B8&lt;12,"样本不足",IF(B12&lt;=1,"通过","未达标"))</x:f>
        <x:v>样本不足</x:v>
      </x:c>
      <x:c r="E12" s="3"/>
      <x:c r="F12" s="3"/>
    </x:row>
    <x:row r="13" ht="30" customHeight="1">
      <x:c r="A13" s="3"/>
      <x:c r="B13" s="3"/>
      <x:c r="C13" s="3"/>
      <x:c r="D13" s="3"/>
      <x:c r="E13" s="3"/>
      <x:c r="F13" s="3"/>
    </x:row>
    <x:row r="14" ht="30" customHeight="1">
      <x:c r="A14" s="3"/>
      <x:c r="B14" s="3"/>
      <x:c r="C14" s="3"/>
      <x:c r="D14" s="3"/>
      <x:c r="E14" s="3"/>
      <x:c r="F14" s="3"/>
    </x:row>
    <x:row r="15" ht="30" customHeight="1">
      <x:c r="A15" s="14" t="str">
        <x:v>总判定</x:v>
      </x:c>
      <x:c r="B15" s="14" t="str">
        <x:f>IF(COUNTIF('执行记录'!K6:K25,"未达标")&gt;0,"暂停：测试未达标",IF(OR(COUNTIF('执行记录'!K6:K25,"输入有误")&gt;0,COUNTIF('用户任务记录'!L6:L25,"输入有误")&gt;0,COUNTIF('用户任务记录'!L6:L25,"重复ID")&gt;0),"修正记录",IF(COUNTIF(D6:D12,"通过")=7,"达到拟议试点门槛","待完成评测")))</x:f>
        <x:v>待完成评测</x:v>
      </x:c>
      <x:c r="C15" s="14"/>
      <x:c r="D15" s="14"/>
      <x:c r="E15" s="3"/>
      <x:c r="F15" s="3"/>
    </x:row>
    <x:row r="16" ht="30" customHeight="1">
      <x:c r="A16" s="3"/>
      <x:c r="B16" s="3"/>
      <x:c r="C16" s="3"/>
      <x:c r="D16" s="3"/>
      <x:c r="E16" s="3"/>
      <x:c r="F16" s="3"/>
    </x:row>
    <x:row r="17" ht="30" customHeight="1">
      <x:c r="A17" s="3"/>
      <x:c r="B17" s="3"/>
      <x:c r="C17" s="3"/>
      <x:c r="D17" s="3"/>
      <x:c r="E17" s="3"/>
      <x:c r="F17" s="3"/>
    </x:row>
    <x:row r="18" ht="30" customHeight="1">
      <x:c r="A18" s="3" t="str">
        <x:v>如何执行</x:v>
      </x:c>
      <x:c r="B18" s="3"/>
      <x:c r="C18" s="3"/>
      <x:c r="D18" s="3"/>
      <x:c r="E18" s="3"/>
      <x:c r="F18" s="3"/>
    </x:row>
    <x:row r="19" ht="32" customHeight="1">
      <x:c r="A19" s="3" t="str">
        <x:v>1. 按测试用例准备输入，执行记录填写观察及证据。</x:v>
      </x:c>
      <x:c r="B19" s="3"/>
      <x:c r="C19" s="3"/>
      <x:c r="D19" s="3"/>
      <x:c r="E19" s="3"/>
      <x:c r="F19" s="3"/>
    </x:row>
    <x:row r="20" ht="32" customHeight="1">
      <x:c r="A20" s="3" t="str">
        <x:v>2. 用户试点采用随机交叉顺序；每人记录一个完整配对。</x:v>
      </x:c>
      <x:c r="B20" s="3"/>
      <x:c r="C20" s="3"/>
      <x:c r="D20" s="3"/>
      <x:c r="E20" s="3"/>
      <x:c r="F20" s="3"/>
    </x:row>
    <x:row r="21" ht="32" customHeight="1">
      <x:c r="A21" s="3" t="str">
        <x:v>3. 汇总只辅助判断；还需报告分场景表现、置信区间和失败原因。</x:v>
      </x:c>
      <x:c r="B21" s="3"/>
      <x:c r="C21" s="3"/>
      <x:c r="D21" s="3"/>
      <x:c r="E21" s="3"/>
      <x:c r="F21" s="3"/>
    </x:row>
    <x:row r="22" ht="30" customHeight="1">
      <x:c r="A22" s="3"/>
      <x:c r="B22" s="3"/>
      <x:c r="C22" s="3"/>
      <x:c r="D22" s="3"/>
      <x:c r="E22" s="3"/>
      <x:c r="F22" s="3"/>
    </x:row>
    <x:row r="23" ht="30" customHeight="1">
      <x:c r="A23" s="3" t="str">
        <x:v>证据状态</x:v>
      </x:c>
      <x:c r="B23" s="3"/>
      <x:c r="C23" s="3"/>
      <x:c r="D23" s="3"/>
      <x:c r="E23" s="3"/>
      <x:c r="F23" s="3"/>
    </x:row>
    <x:row r="24" ht="32" customHeight="1">
      <x:c r="A24" s="3" t="str">
        <x:v>现有代码自动化测试与本表的人工/模型评测分别记录；本表未填入实验成绩。</x:v>
      </x:c>
      <x:c r="B24" s="3"/>
      <x:c r="C24" s="3"/>
      <x:c r="D24" s="3"/>
      <x:c r="E24" s="3"/>
      <x:c r="F24" s="3"/>
    </x:row>
    <x:row r="25" ht="32" customHeight="1">
      <x:c r="A25" s="3" t="str">
        <x:v>固定规则原型不产生模型准确率证据；真实身份隔离与删除必须在服务端测。</x:v>
      </x:c>
      <x:c r="B25" s="3"/>
      <x:c r="C25" s="3"/>
      <x:c r="D25" s="3"/>
      <x:c r="E25" s="3"/>
      <x:c r="F25" s="3"/>
    </x:row>
    <x:row r="26" ht="30" customHeight="1">
      <x:c r="A26" s="3"/>
      <x:c r="B26" s="3"/>
      <x:c r="C26" s="3"/>
      <x:c r="D26" s="3"/>
      <x:c r="E26" s="3"/>
      <x:c r="F26" s="3"/>
    </x:row>
    <x:row r="27" ht="30" customHeight="1">
      <x:c r="A27" s="3"/>
      <x:c r="B27" s="3"/>
      <x:c r="C27" s="3"/>
      <x:c r="D27" s="3"/>
      <x:c r="E27" s="3"/>
      <x:c r="F27" s="3"/>
    </x:row>
    <x:row r="28" ht="30" customHeight="1">
      <x:c r="A28" s="3"/>
      <x:c r="B28" s="3"/>
      <x:c r="C28" s="3"/>
      <x:c r="D28" s="3"/>
      <x:c r="E28" s="3"/>
      <x:c r="F28" s="3"/>
    </x:row>
    <x:row r="29" ht="30" customHeight="1">
      <x:c r="A29" s="3"/>
      <x:c r="B29" s="3"/>
      <x:c r="C29" s="3"/>
      <x:c r="D29" s="3"/>
      <x:c r="E29" s="3"/>
      <x:c r="F29" s="3"/>
    </x:row>
    <x:row r="30" ht="30" customHeight="1">
      <x:c r="A30" s="3"/>
      <x:c r="B30" s="3"/>
      <x:c r="C30" s="3"/>
      <x:c r="D30" s="3"/>
      <x:c r="E30" s="3"/>
      <x:c r="F30" s="3"/>
    </x:row>
    <x:row r="31" ht="30" customHeight="1">
      <x:c r="A31" s="3"/>
      <x:c r="B31" s="3"/>
      <x:c r="C31" s="3"/>
      <x:c r="D31" s="3"/>
      <x:c r="E31" s="3"/>
      <x:c r="F31" s="3"/>
    </x:row>
    <x:row r="32" ht="30" customHeight="1">
      <x:c r="A32" s="3"/>
      <x:c r="B32" s="3"/>
      <x:c r="C32" s="3"/>
      <x:c r="D32" s="3"/>
      <x:c r="E32" s="3"/>
      <x:c r="F32" s="3"/>
    </x:row>
    <x:row r="33" ht="30" customHeight="1">
      <x:c r="A33" s="3"/>
      <x:c r="B33" s="3"/>
      <x:c r="C33" s="3"/>
      <x:c r="D33" s="3"/>
      <x:c r="E33" s="3"/>
      <x:c r="F33" s="3"/>
    </x:row>
    <x:row r="34" ht="30" customHeight="1">
      <x:c r="A34" s="3"/>
      <x:c r="B34" s="3"/>
      <x:c r="C34" s="3"/>
      <x:c r="D34" s="3"/>
      <x:c r="E34" s="3"/>
      <x:c r="F34" s="3"/>
    </x:row>
    <x:row r="35" ht="30" customHeight="1">
      <x:c r="A35" s="3"/>
      <x:c r="B35" s="3"/>
      <x:c r="C35" s="3"/>
      <x:c r="D35" s="3"/>
      <x:c r="E35" s="3"/>
      <x:c r="F35" s="3"/>
    </x:row>
    <x:row r="36" ht="30" customHeight="1">
      <x:c r="A36" s="3"/>
      <x:c r="B36" s="3"/>
      <x:c r="C36" s="3"/>
      <x:c r="D36" s="3"/>
      <x:c r="E36" s="3"/>
      <x:c r="F36" s="3"/>
    </x:row>
    <x:row r="37" ht="30" customHeight="1">
      <x:c r="A37" s="3"/>
      <x:c r="B37" s="3"/>
      <x:c r="C37" s="3"/>
      <x:c r="D37" s="3"/>
      <x:c r="E37" s="3"/>
      <x:c r="F37" s="3"/>
    </x:row>
    <x:row r="38" ht="30" customHeight="1">
      <x:c r="A38" s="3"/>
      <x:c r="B38" s="3"/>
      <x:c r="C38" s="3"/>
      <x:c r="D38" s="3"/>
      <x:c r="E38" s="3"/>
      <x:c r="F38" s="3"/>
    </x:row>
    <x:row r="39" ht="30" customHeight="1">
      <x:c r="A39" s="3"/>
      <x:c r="B39" s="3"/>
      <x:c r="C39" s="3"/>
      <x:c r="D39" s="3"/>
      <x:c r="E39" s="3"/>
      <x:c r="F39" s="3"/>
    </x:row>
    <x:row r="40" ht="30" customHeight="1">
      <x:c r="A40" s="3"/>
      <x:c r="B40" s="3"/>
      <x:c r="C40" s="3"/>
      <x:c r="D40" s="3"/>
      <x:c r="E40" s="3"/>
      <x:c r="F40" s="3"/>
    </x:row>
    <x:row r="41" ht="30" customHeight="1">
      <x:c r="A41" s="3"/>
      <x:c r="B41" s="3"/>
      <x:c r="C41" s="3"/>
      <x:c r="D41" s="3"/>
      <x:c r="E41" s="3"/>
      <x:c r="F41" s="3"/>
    </x:row>
    <x:row r="42" ht="30" customHeight="1">
      <x:c r="A42" s="3"/>
      <x:c r="B42" s="3"/>
      <x:c r="C42" s="3"/>
      <x:c r="D42" s="3"/>
      <x:c r="E42" s="3"/>
      <x:c r="F42" s="3"/>
    </x:row>
    <x:row r="43" ht="30" customHeight="1">
      <x:c r="A43" s="3"/>
      <x:c r="B43" s="3"/>
      <x:c r="C43" s="3"/>
      <x:c r="D43" s="3"/>
      <x:c r="E43" s="3"/>
      <x:c r="F43" s="3"/>
    </x:row>
    <x:row r="44" ht="30" customHeight="1">
      <x:c r="A44" s="3"/>
      <x:c r="B44" s="3"/>
      <x:c r="C44" s="3"/>
      <x:c r="D44" s="3"/>
      <x:c r="E44" s="3"/>
      <x:c r="F44" s="3"/>
    </x:row>
    <x:row r="45" ht="30" customHeight="1">
      <x:c r="A45" s="3"/>
      <x:c r="B45" s="3"/>
      <x:c r="C45" s="3"/>
      <x:c r="D45" s="3"/>
      <x:c r="E45" s="3"/>
      <x:c r="F45" s="3"/>
    </x:row>
    <x:row r="46" ht="30" customHeight="1">
      <x:c r="A46" s="3"/>
      <x:c r="B46" s="3"/>
      <x:c r="C46" s="3"/>
      <x:c r="D46" s="3"/>
      <x:c r="E46" s="3"/>
      <x:c r="F46" s="3"/>
    </x:row>
    <x:row r="47" ht="30" customHeight="1">
      <x:c r="A47" s="3"/>
      <x:c r="B47" s="3"/>
      <x:c r="C47" s="3"/>
      <x:c r="D47" s="3"/>
      <x:c r="E47" s="3"/>
      <x:c r="F47" s="3"/>
    </x:row>
    <x:row r="48" ht="30" customHeight="1">
      <x:c r="A48" s="3"/>
      <x:c r="B48" s="3"/>
      <x:c r="C48" s="3"/>
      <x:c r="D48" s="3"/>
      <x:c r="E48" s="3"/>
      <x:c r="F48" s="3"/>
    </x:row>
    <x:row r="49" ht="30" customHeight="1">
      <x:c r="A49" s="3"/>
      <x:c r="B49" s="3"/>
      <x:c r="C49" s="3"/>
      <x:c r="D49" s="3"/>
      <x:c r="E49" s="3"/>
      <x:c r="F49" s="3"/>
    </x:row>
    <x:row r="50" ht="30" customHeight="1">
      <x:c r="A50" s="3"/>
      <x:c r="B50" s="3"/>
      <x:c r="C50" s="3"/>
      <x:c r="D50" s="3"/>
      <x:c r="E50" s="3"/>
      <x:c r="F50" s="3"/>
    </x:row>
  </x:sheetData>
  <x:mergeCells>
    <x:mergeCell ref="B15:D15"/>
    <x:mergeCell ref="A3:F3"/>
    <x:mergeCell ref="A19:F19"/>
    <x:mergeCell ref="A20:F20"/>
    <x:mergeCell ref="A21:F21"/>
    <x:mergeCell ref="A24:F24"/>
    <x:mergeCell ref="A25:F25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6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27" hidden="0" customWidth="1"/>
    <x:col min="9" max="9" width="30" hidden="0" customWidth="1"/>
    <x:col min="10" max="10" width="18" hidden="0" customWidth="1"/>
    <x:col min="11" max="11" width="17" hidden="0" customWidth="1"/>
    <x:col min="12" max="12" width="16" hidden="0" customWidth="1"/>
    <x:col min="13" max="13" width="18" hidden="0" customWidth="1"/>
    <x:col min="14" max="14" width="20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4" t="str">
        <x:v>执行记录 / 填写蓝色单元格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 ht="30" customHeight="1">
      <x:c r="A3" s="3" t="str">
        <x:v>填写实际次数、错误数、观察、证据和执行人。状态自动计算；未执行不视为通过。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 ht="42" customHeight="1">
      <x:c r="A5" s="6" t="str">
        <x:v>编号</x:v>
      </x:c>
      <x:c r="B5" s="6" t="str">
        <x:v>阶段</x:v>
      </x:c>
      <x:c r="C5" s="6" t="str">
        <x:v>测试点</x:v>
      </x:c>
      <x:c r="D5" s="6" t="str">
        <x:v>最低次数</x:v>
      </x:c>
      <x:c r="E5" s="6" t="str">
        <x:v>正确率门槛</x:v>
      </x:c>
      <x:c r="F5" s="6" t="str">
        <x:v>实际次数</x:v>
      </x:c>
      <x:c r="G5" s="6" t="str">
        <x:v>错误次数</x:v>
      </x:c>
      <x:c r="H5" s="6" t="str">
        <x:v>实际观察</x:v>
      </x:c>
      <x:c r="I5" s="6" t="str">
        <x:v>证据链接 / 文件</x:v>
      </x:c>
      <x:c r="J5" s="6" t="str">
        <x:v>执行人 / 日期</x:v>
      </x:c>
      <x:c r="K5" s="6" t="str">
        <x:v>判定</x:v>
      </x:c>
      <x:c r="L5" s="6" t="str">
        <x:v>实际正确率</x:v>
      </x:c>
      <x:c r="M5" s="6" t="str">
        <x:v>零错风险上界</x:v>
      </x:c>
      <x:c r="N5" s="6" t="str">
        <x:v>Wilson下界</x:v>
      </x:c>
    </x:row>
    <x:row r="6" ht="48" customHeight="1">
      <x:c r="A6" s="3" t="str">
        <x:v>P01</x:v>
      </x:c>
      <x:c r="B6" s="3" t="str">
        <x:v>原型</x:v>
      </x:c>
      <x:c r="C6" s="3" t="str">
        <x:v>跨会话保存</x:v>
      </x:c>
      <x:c r="D6" s="3" t="n">
        <x:v>1</x:v>
      </x:c>
      <x:c r="E6" s="7" t="n">
        <x:v>1</x:v>
      </x:c>
      <x:c r="F6" s="9"/>
      <x:c r="G6" s="9"/>
      <x:c r="H6" s="9"/>
      <x:c r="I6" s="9"/>
      <x:c r="J6" s="9"/>
      <x:c r="K6" s="3" t="str">
        <x:f>IF(COUNT(F6:G6)&lt;2,"待执行",IF(OR(F6&lt;=0,G6&lt;0,G6&gt;F6,MOD(F6,1)&lt;&gt;0,MOD(G6,1)&lt;&gt;0),"输入有误",IF(1-G6/F6&lt;E6,"未达标",IF(F6&lt;D6,"样本不足",IF(OR(H6="",I6="",J6=""),"待补证据","通过")))))</x:f>
        <x:v>待执行</x:v>
      </x:c>
      <x:c r="L6" s="10" t="str">
        <x:f>IF(OR(COUNT(F6:G6)&lt;2,F6&lt;=0,G6&lt;0,G6&gt;F6),"",1-G6/F6)</x:f>
      </x:c>
      <x:c r="M6" s="10" t="str">
        <x:f>IF(AND(COUNT(F6:G6)=2,F6&gt;0,G6=0),1-0.05^(1/F6),"")</x:f>
      </x:c>
      <x:c r="N6" s="10" t="str">
        <x:f>IF(ISNUMBER(L6),(L6+1.96^2/(2*F6)-1.96*SQRT(L6*(1-L6)/F6+1.96^2/(4*F6^2)))/(1+1.96^2/F6),"")</x:f>
      </x:c>
    </x:row>
    <x:row r="7" ht="48" customHeight="1">
      <x:c r="A7" s="3" t="str">
        <x:v>P02</x:v>
      </x:c>
      <x:c r="B7" s="3" t="str">
        <x:v>原型</x:v>
      </x:c>
      <x:c r="C7" s="3" t="str">
        <x:v>确认权限</x:v>
      </x:c>
      <x:c r="D7" s="3" t="n">
        <x:v>1</x:v>
      </x:c>
      <x:c r="E7" s="7" t="n">
        <x:v>1</x:v>
      </x:c>
      <x:c r="F7" s="9"/>
      <x:c r="G7" s="9"/>
      <x:c r="H7" s="9"/>
      <x:c r="I7" s="9"/>
      <x:c r="J7" s="9"/>
      <x:c r="K7" s="3" t="str">
        <x:f>IF(COUNT(F7:G7)&lt;2,"待执行",IF(OR(F7&lt;=0,G7&lt;0,G7&gt;F7,MOD(F7,1)&lt;&gt;0,MOD(G7,1)&lt;&gt;0),"输入有误",IF(1-G7/F7&lt;E7,"未达标",IF(F7&lt;D7,"样本不足",IF(OR(H7="",I7="",J7=""),"待补证据","通过")))))</x:f>
        <x:v>待执行</x:v>
      </x:c>
      <x:c r="L7" s="10" t="str">
        <x:f>IF(OR(COUNT(F7:G7)&lt;2,F7&lt;=0,G7&lt;0,G7&gt;F7),"",1-G7/F7)</x:f>
      </x:c>
      <x:c r="M7" s="10" t="str">
        <x:f>IF(AND(COUNT(F7:G7)=2,F7&gt;0,G7=0),1-0.05^(1/F7),"")</x:f>
      </x:c>
      <x:c r="N7" s="10" t="str">
        <x:f>IF(ISNUMBER(L7),(L7+1.96^2/(2*F7)-1.96*SQRT(L7*(1-L7)/F7+1.96^2/(4*F7^2)))/(1+1.96^2/F7),"")</x:f>
      </x:c>
    </x:row>
    <x:row r="8" ht="48" customHeight="1">
      <x:c r="A8" s="3" t="str">
        <x:v>P03</x:v>
      </x:c>
      <x:c r="B8" s="3" t="str">
        <x:v>原型</x:v>
      </x:c>
      <x:c r="C8" s="3" t="str">
        <x:v>待确认隔离</x:v>
      </x:c>
      <x:c r="D8" s="3" t="n">
        <x:v>1</x:v>
      </x:c>
      <x:c r="E8" s="7" t="n">
        <x:v>1</x:v>
      </x:c>
      <x:c r="F8" s="9"/>
      <x:c r="G8" s="9"/>
      <x:c r="H8" s="9"/>
      <x:c r="I8" s="9"/>
      <x:c r="J8" s="9"/>
      <x:c r="K8" s="3" t="str">
        <x:f>IF(COUNT(F8:G8)&lt;2,"待执行",IF(OR(F8&lt;=0,G8&lt;0,G8&gt;F8,MOD(F8,1)&lt;&gt;0,MOD(G8,1)&lt;&gt;0),"输入有误",IF(1-G8/F8&lt;E8,"未达标",IF(F8&lt;D8,"样本不足",IF(OR(H8="",I8="",J8=""),"待补证据","通过")))))</x:f>
        <x:v>待执行</x:v>
      </x:c>
      <x:c r="L8" s="10" t="str">
        <x:f>IF(OR(COUNT(F8:G8)&lt;2,F8&lt;=0,G8&lt;0,G8&gt;F8),"",1-G8/F8)</x:f>
      </x:c>
      <x:c r="M8" s="10" t="str">
        <x:f>IF(AND(COUNT(F8:G8)=2,F8&gt;0,G8=0),1-0.05^(1/F8),"")</x:f>
      </x:c>
      <x:c r="N8" s="10" t="str">
        <x:f>IF(ISNUMBER(L8),(L8+1.96^2/(2*F8)-1.96*SQRT(L8*(1-L8)/F8+1.96^2/(4*F8^2)))/(1+1.96^2/F8),"")</x:f>
      </x:c>
    </x:row>
    <x:row r="9" ht="48" customHeight="1">
      <x:c r="A9" s="3" t="str">
        <x:v>P04</x:v>
      </x:c>
      <x:c r="B9" s="3" t="str">
        <x:v>原型</x:v>
      </x:c>
      <x:c r="C9" s="3" t="str">
        <x:v>更正后引用</x:v>
      </x:c>
      <x:c r="D9" s="3" t="n">
        <x:v>1</x:v>
      </x:c>
      <x:c r="E9" s="7" t="n">
        <x:v>1</x:v>
      </x:c>
      <x:c r="F9" s="9"/>
      <x:c r="G9" s="9"/>
      <x:c r="H9" s="9"/>
      <x:c r="I9" s="9"/>
      <x:c r="J9" s="9"/>
      <x:c r="K9" s="3" t="str">
        <x:f>IF(COUNT(F9:G9)&lt;2,"待执行",IF(OR(F9&lt;=0,G9&lt;0,G9&gt;F9,MOD(F9,1)&lt;&gt;0,MOD(G9,1)&lt;&gt;0),"输入有误",IF(1-G9/F9&lt;E9,"未达标",IF(F9&lt;D9,"样本不足",IF(OR(H9="",I9="",J9=""),"待补证据","通过")))))</x:f>
        <x:v>待执行</x:v>
      </x:c>
      <x:c r="L9" s="10" t="str">
        <x:f>IF(OR(COUNT(F9:G9)&lt;2,F9&lt;=0,G9&lt;0,G9&gt;F9),"",1-G9/F9)</x:f>
      </x:c>
      <x:c r="M9" s="10" t="str">
        <x:f>IF(AND(COUNT(F9:G9)=2,F9&gt;0,G9=0),1-0.05^(1/F9),"")</x:f>
      </x:c>
      <x:c r="N9" s="10" t="str">
        <x:f>IF(ISNUMBER(L9),(L9+1.96^2/(2*F9)-1.96*SQRT(L9*(1-L9)/F9+1.96^2/(4*F9^2)))/(1+1.96^2/F9),"")</x:f>
      </x:c>
    </x:row>
    <x:row r="10" ht="48" customHeight="1">
      <x:c r="A10" s="3" t="str">
        <x:v>P05</x:v>
      </x:c>
      <x:c r="B10" s="3" t="str">
        <x:v>原型</x:v>
      </x:c>
      <x:c r="C10" s="3" t="str">
        <x:v>决策生效</x:v>
      </x:c>
      <x:c r="D10" s="3" t="n">
        <x:v>1</x:v>
      </x:c>
      <x:c r="E10" s="7" t="n">
        <x:v>1</x:v>
      </x:c>
      <x:c r="F10" s="9"/>
      <x:c r="G10" s="9"/>
      <x:c r="H10" s="9"/>
      <x:c r="I10" s="9"/>
      <x:c r="J10" s="9"/>
      <x:c r="K10" s="3" t="str">
        <x:f>IF(COUNT(F10:G10)&lt;2,"待执行",IF(OR(F10&lt;=0,G10&lt;0,G10&gt;F10,MOD(F10,1)&lt;&gt;0,MOD(G10,1)&lt;&gt;0),"输入有误",IF(1-G10/F10&lt;E10,"未达标",IF(F10&lt;D10,"样本不足",IF(OR(H10="",I10="",J10=""),"待补证据","通过")))))</x:f>
        <x:v>待执行</x:v>
      </x:c>
      <x:c r="L10" s="10" t="str">
        <x:f>IF(OR(COUNT(F10:G10)&lt;2,F10&lt;=0,G10&lt;0,G10&gt;F10),"",1-G10/F10)</x:f>
      </x:c>
      <x:c r="M10" s="10" t="str">
        <x:f>IF(AND(COUNT(F10:G10)=2,F10&gt;0,G10=0),1-0.05^(1/F10),"")</x:f>
      </x:c>
      <x:c r="N10" s="10" t="str">
        <x:f>IF(ISNUMBER(L10),(L10+1.96^2/(2*F10)-1.96*SQRT(L10*(1-L10)/F10+1.96^2/(4*F10^2)))/(1+1.96^2/F10),"")</x:f>
      </x:c>
    </x:row>
    <x:row r="11" ht="48" customHeight="1">
      <x:c r="A11" s="3" t="str">
        <x:v>P06</x:v>
      </x:c>
      <x:c r="B11" s="3" t="str">
        <x:v>原型</x:v>
      </x:c>
      <x:c r="C11" s="3" t="str">
        <x:v>来源可追溯</x:v>
      </x:c>
      <x:c r="D11" s="3" t="n">
        <x:v>1</x:v>
      </x:c>
      <x:c r="E11" s="7" t="n">
        <x:v>1</x:v>
      </x:c>
      <x:c r="F11" s="9"/>
      <x:c r="G11" s="9"/>
      <x:c r="H11" s="9"/>
      <x:c r="I11" s="9"/>
      <x:c r="J11" s="9"/>
      <x:c r="K11" s="3" t="str">
        <x:f>IF(COUNT(F11:G11)&lt;2,"待执行",IF(OR(F11&lt;=0,G11&lt;0,G11&gt;F11,MOD(F11,1)&lt;&gt;0,MOD(G11,1)&lt;&gt;0),"输入有误",IF(1-G11/F11&lt;E11,"未达标",IF(F11&lt;D11,"样本不足",IF(OR(H11="",I11="",J11=""),"待补证据","通过")))))</x:f>
        <x:v>待执行</x:v>
      </x:c>
      <x:c r="L11" s="10" t="str">
        <x:f>IF(OR(COUNT(F11:G11)&lt;2,F11&lt;=0,G11&lt;0,G11&gt;F11),"",1-G11/F11)</x:f>
      </x:c>
      <x:c r="M11" s="10" t="str">
        <x:f>IF(AND(COUNT(F11:G11)=2,F11&gt;0,G11=0),1-0.05^(1/F11),"")</x:f>
      </x:c>
      <x:c r="N11" s="10" t="str">
        <x:f>IF(ISNUMBER(L11),(L11+1.96^2/(2*F11)-1.96*SQRT(L11*(1-L11)/F11+1.96^2/(4*F11^2)))/(1+1.96^2/F11),"")</x:f>
      </x:c>
    </x:row>
    <x:row r="12" ht="48" customHeight="1">
      <x:c r="A12" s="3" t="str">
        <x:v>P07</x:v>
      </x:c>
      <x:c r="B12" s="3" t="str">
        <x:v>原型</x:v>
      </x:c>
      <x:c r="C12" s="3" t="str">
        <x:v>源文修改</x:v>
      </x:c>
      <x:c r="D12" s="3" t="n">
        <x:v>1</x:v>
      </x:c>
      <x:c r="E12" s="7" t="n">
        <x:v>1</x:v>
      </x:c>
      <x:c r="F12" s="9"/>
      <x:c r="G12" s="9"/>
      <x:c r="H12" s="9"/>
      <x:c r="I12" s="9"/>
      <x:c r="J12" s="9"/>
      <x:c r="K12" s="3" t="str">
        <x:f>IF(COUNT(F12:G12)&lt;2,"待执行",IF(OR(F12&lt;=0,G12&lt;0,G12&gt;F12,MOD(F12,1)&lt;&gt;0,MOD(G12,1)&lt;&gt;0),"输入有误",IF(1-G12/F12&lt;E12,"未达标",IF(F12&lt;D12,"样本不足",IF(OR(H12="",I12="",J12=""),"待补证据","通过")))))</x:f>
        <x:v>待执行</x:v>
      </x:c>
      <x:c r="L12" s="10" t="str">
        <x:f>IF(OR(COUNT(F12:G12)&lt;2,F12&lt;=0,G12&lt;0,G12&gt;F12),"",1-G12/F12)</x:f>
      </x:c>
      <x:c r="M12" s="10" t="str">
        <x:f>IF(AND(COUNT(F12:G12)=2,F12&gt;0,G12=0),1-0.05^(1/F12),"")</x:f>
      </x:c>
      <x:c r="N12" s="10" t="str">
        <x:f>IF(ISNUMBER(L12),(L12+1.96^2/(2*F12)-1.96*SQRT(L12*(1-L12)/F12+1.96^2/(4*F12^2)))/(1+1.96^2/F12),"")</x:f>
      </x:c>
    </x:row>
    <x:row r="13" ht="48" customHeight="1">
      <x:c r="A13" s="3" t="str">
        <x:v>P08</x:v>
      </x:c>
      <x:c r="B13" s="3" t="str">
        <x:v>原型</x:v>
      </x:c>
      <x:c r="C13" s="3" t="str">
        <x:v>拒绝/停用</x:v>
      </x:c>
      <x:c r="D13" s="3" t="n">
        <x:v>1</x:v>
      </x:c>
      <x:c r="E13" s="7" t="n">
        <x:v>1</x:v>
      </x:c>
      <x:c r="F13" s="9"/>
      <x:c r="G13" s="9"/>
      <x:c r="H13" s="9"/>
      <x:c r="I13" s="9"/>
      <x:c r="J13" s="9"/>
      <x:c r="K13" s="3" t="str">
        <x:f>IF(COUNT(F13:G13)&lt;2,"待执行",IF(OR(F13&lt;=0,G13&lt;0,G13&gt;F13,MOD(F13,1)&lt;&gt;0,MOD(G13,1)&lt;&gt;0),"输入有误",IF(1-G13/F13&lt;E13,"未达标",IF(F13&lt;D13,"样本不足",IF(OR(H13="",I13="",J13=""),"待补证据","通过")))))</x:f>
        <x:v>待执行</x:v>
      </x:c>
      <x:c r="L13" s="10" t="str">
        <x:f>IF(OR(COUNT(F13:G13)&lt;2,F13&lt;=0,G13&lt;0,G13&gt;F13),"",1-G13/F13)</x:f>
      </x:c>
      <x:c r="M13" s="10" t="str">
        <x:f>IF(AND(COUNT(F13:G13)=2,F13&gt;0,G13=0),1-0.05^(1/F13),"")</x:f>
      </x:c>
      <x:c r="N13" s="10" t="str">
        <x:f>IF(ISNUMBER(L13),(L13+1.96^2/(2*F13)-1.96*SQRT(L13*(1-L13)/F13+1.96^2/(4*F13^2)))/(1+1.96^2/F13),"")</x:f>
      </x:c>
    </x:row>
    <x:row r="14" ht="48" customHeight="1">
      <x:c r="A14" s="3" t="str">
        <x:v>P09</x:v>
      </x:c>
      <x:c r="B14" s="3" t="str">
        <x:v>原型</x:v>
      </x:c>
      <x:c r="C14" s="3" t="str">
        <x:v>忘记与恢复</x:v>
      </x:c>
      <x:c r="D14" s="3" t="n">
        <x:v>1</x:v>
      </x:c>
      <x:c r="E14" s="7" t="n">
        <x:v>1</x:v>
      </x:c>
      <x:c r="F14" s="9"/>
      <x:c r="G14" s="9"/>
      <x:c r="H14" s="9"/>
      <x:c r="I14" s="9"/>
      <x:c r="J14" s="9"/>
      <x:c r="K14" s="3" t="str">
        <x:f>IF(COUNT(F14:G14)&lt;2,"待执行",IF(OR(F14&lt;=0,G14&lt;0,G14&gt;F14,MOD(F14,1)&lt;&gt;0,MOD(G14,1)&lt;&gt;0),"输入有误",IF(1-G14/F14&lt;E14,"未达标",IF(F14&lt;D14,"样本不足",IF(OR(H14="",I14="",J14=""),"待补证据","通过")))))</x:f>
        <x:v>待执行</x:v>
      </x:c>
      <x:c r="L14" s="10" t="str">
        <x:f>IF(OR(COUNT(F14:G14)&lt;2,F14&lt;=0,G14&lt;0,G14&gt;F14),"",1-G14/F14)</x:f>
      </x:c>
      <x:c r="M14" s="10" t="str">
        <x:f>IF(AND(COUNT(F14:G14)=2,F14&gt;0,G14=0),1-0.05^(1/F14),"")</x:f>
      </x:c>
      <x:c r="N14" s="10" t="str">
        <x:f>IF(ISNUMBER(L14),(L14+1.96^2/(2*F14)-1.96*SQRT(L14*(1-L14)/F14+1.96^2/(4*F14^2)))/(1+1.96^2/F14),"")</x:f>
      </x:c>
    </x:row>
    <x:row r="15" ht="48" customHeight="1">
      <x:c r="A15" s="3" t="str">
        <x:v>P10</x:v>
      </x:c>
      <x:c r="B15" s="3" t="str">
        <x:v>原型</x:v>
      </x:c>
      <x:c r="C15" s="3" t="str">
        <x:v>私人共享</x:v>
      </x:c>
      <x:c r="D15" s="3" t="n">
        <x:v>1</x:v>
      </x:c>
      <x:c r="E15" s="7" t="n">
        <x:v>1</x:v>
      </x:c>
      <x:c r="F15" s="9"/>
      <x:c r="G15" s="9"/>
      <x:c r="H15" s="9"/>
      <x:c r="I15" s="9"/>
      <x:c r="J15" s="9"/>
      <x:c r="K15" s="3" t="str">
        <x:f>IF(COUNT(F15:G15)&lt;2,"待执行",IF(OR(F15&lt;=0,G15&lt;0,G15&gt;F15,MOD(F15,1)&lt;&gt;0,MOD(G15,1)&lt;&gt;0),"输入有误",IF(1-G15/F15&lt;E15,"未达标",IF(F15&lt;D15,"样本不足",IF(OR(H15="",I15="",J15=""),"待补证据","通过")))))</x:f>
        <x:v>待执行</x:v>
      </x:c>
      <x:c r="L15" s="10" t="str">
        <x:f>IF(OR(COUNT(F15:G15)&lt;2,F15&lt;=0,G15&lt;0,G15&gt;F15),"",1-G15/F15)</x:f>
      </x:c>
      <x:c r="M15" s="10" t="str">
        <x:f>IF(AND(COUNT(F15:G15)=2,F15&gt;0,G15=0),1-0.05^(1/F15),"")</x:f>
      </x:c>
      <x:c r="N15" s="10" t="str">
        <x:f>IF(ISNUMBER(L15),(L15+1.96^2/(2*F15)-1.96*SQRT(L15*(1-L15)/F15+1.96^2/(4*F15^2)))/(1+1.96^2/F15),"")</x:f>
      </x:c>
    </x:row>
    <x:row r="16" ht="48" customHeight="1">
      <x:c r="A16" s="3" t="str">
        <x:v>P11</x:v>
      </x:c>
      <x:c r="B16" s="3" t="str">
        <x:v>原型</x:v>
      </x:c>
      <x:c r="C16" s="3" t="str">
        <x:v>项目/假设隔离</x:v>
      </x:c>
      <x:c r="D16" s="3" t="n">
        <x:v>1</x:v>
      </x:c>
      <x:c r="E16" s="7" t="n">
        <x:v>1</x:v>
      </x:c>
      <x:c r="F16" s="9"/>
      <x:c r="G16" s="9"/>
      <x:c r="H16" s="9"/>
      <x:c r="I16" s="9"/>
      <x:c r="J16" s="9"/>
      <x:c r="K16" s="3" t="str">
        <x:f>IF(COUNT(F16:G16)&lt;2,"待执行",IF(OR(F16&lt;=0,G16&lt;0,G16&gt;F16,MOD(F16,1)&lt;&gt;0,MOD(G16,1)&lt;&gt;0),"输入有误",IF(1-G16/F16&lt;E16,"未达标",IF(F16&lt;D16,"样本不足",IF(OR(H16="",I16="",J16=""),"待补证据","通过")))))</x:f>
        <x:v>待执行</x:v>
      </x:c>
      <x:c r="L16" s="10" t="str">
        <x:f>IF(OR(COUNT(F16:G16)&lt;2,F16&lt;=0,G16&lt;0,G16&gt;F16),"",1-G16/F16)</x:f>
      </x:c>
      <x:c r="M16" s="10" t="str">
        <x:f>IF(AND(COUNT(F16:G16)=2,F16&gt;0,G16=0),1-0.05^(1/F16),"")</x:f>
      </x:c>
      <x:c r="N16" s="10" t="str">
        <x:f>IF(ISNUMBER(L16),(L16+1.96^2/(2*F16)-1.96*SQRT(L16*(1-L16)/F16+1.96^2/(4*F16^2)))/(1+1.96^2/F16),"")</x:f>
      </x:c>
    </x:row>
    <x:row r="17" ht="48" customHeight="1">
      <x:c r="A17" s="3" t="str">
        <x:v>P12</x:v>
      </x:c>
      <x:c r="B17" s="3" t="str">
        <x:v>原型</x:v>
      </x:c>
      <x:c r="C17" s="3" t="str">
        <x:v>脚本与恢复</x:v>
      </x:c>
      <x:c r="D17" s="3" t="n">
        <x:v>1</x:v>
      </x:c>
      <x:c r="E17" s="7" t="n">
        <x:v>1</x:v>
      </x:c>
      <x:c r="F17" s="9"/>
      <x:c r="G17" s="9"/>
      <x:c r="H17" s="9"/>
      <x:c r="I17" s="9"/>
      <x:c r="J17" s="9"/>
      <x:c r="K17" s="3" t="str">
        <x:f>IF(COUNT(F17:G17)&lt;2,"待执行",IF(OR(F17&lt;=0,G17&lt;0,G17&gt;F17,MOD(F17,1)&lt;&gt;0,MOD(G17,1)&lt;&gt;0),"输入有误",IF(1-G17/F17&lt;E17,"未达标",IF(F17&lt;D17,"样本不足",IF(OR(H17="",I17="",J17=""),"待补证据","通过")))))</x:f>
        <x:v>待执行</x:v>
      </x:c>
      <x:c r="L17" s="10" t="str">
        <x:f>IF(OR(COUNT(F17:G17)&lt;2,F17&lt;=0,G17&lt;0,G17&gt;F17),"",1-G17/F17)</x:f>
      </x:c>
      <x:c r="M17" s="10" t="str">
        <x:f>IF(AND(COUNT(F17:G17)=2,F17&gt;0,G17=0),1-0.05^(1/F17),"")</x:f>
      </x:c>
      <x:c r="N17" s="10" t="str">
        <x:f>IF(ISNUMBER(L17),(L17+1.96^2/(2*F17)-1.96*SQRT(L17*(1-L17)/F17+1.96^2/(4*F17^2)))/(1+1.96^2/F17),"")</x:f>
      </x:c>
    </x:row>
    <x:row r="18" ht="48" customHeight="1">
      <x:c r="A18" s="3" t="str">
        <x:v>M01</x:v>
      </x:c>
      <x:c r="B18" s="3" t="str">
        <x:v>接入后</x:v>
      </x:c>
      <x:c r="C18" s="3" t="str">
        <x:v>数值单位准确率</x:v>
      </x:c>
      <x:c r="D18" s="3" t="n">
        <x:v>120</x:v>
      </x:c>
      <x:c r="E18" s="7" t="n">
        <x:v>0.98</x:v>
      </x:c>
      <x:c r="F18" s="9"/>
      <x:c r="G18" s="9"/>
      <x:c r="H18" s="9"/>
      <x:c r="I18" s="9"/>
      <x:c r="J18" s="9"/>
      <x:c r="K18" s="3" t="str">
        <x:f>IF(COUNT(F18:G18)&lt;2,"待执行",IF(OR(F18&lt;=0,G18&lt;0,G18&gt;F18,MOD(F18,1)&lt;&gt;0,MOD(G18,1)&lt;&gt;0),"输入有误",IF(1-G18/F18&lt;E18,"未达标",IF(F18&lt;D18,"样本不足",IF(OR(H18="",I18="",J18=""),"待补证据","通过")))))</x:f>
        <x:v>待执行</x:v>
      </x:c>
      <x:c r="L18" s="10" t="str">
        <x:f>IF(OR(COUNT(F18:G18)&lt;2,F18&lt;=0,G18&lt;0,G18&gt;F18),"",1-G18/F18)</x:f>
      </x:c>
      <x:c r="M18" s="10" t="str">
        <x:f>IF(AND(COUNT(F18:G18)=2,F18&gt;0,G18=0),1-0.05^(1/F18),"")</x:f>
      </x:c>
      <x:c r="N18" s="10" t="str">
        <x:f>IF(ISNUMBER(L18),(L18+1.96^2/(2*F18)-1.96*SQRT(L18*(1-L18)/F18+1.96^2/(4*F18^2)))/(1+1.96^2/F18),"")</x:f>
      </x:c>
    </x:row>
    <x:row r="19" ht="48" customHeight="1">
      <x:c r="A19" s="3" t="str">
        <x:v>M02</x:v>
      </x:c>
      <x:c r="B19" s="3" t="str">
        <x:v>接入后</x:v>
      </x:c>
      <x:c r="C19" s="3" t="str">
        <x:v>确认记忆准确率</x:v>
      </x:c>
      <x:c r="D19" s="3" t="n">
        <x:v>120</x:v>
      </x:c>
      <x:c r="E19" s="7" t="n">
        <x:v>0.95</x:v>
      </x:c>
      <x:c r="F19" s="9"/>
      <x:c r="G19" s="9"/>
      <x:c r="H19" s="9"/>
      <x:c r="I19" s="9"/>
      <x:c r="J19" s="9"/>
      <x:c r="K19" s="3" t="str">
        <x:f>IF(COUNT(F19:G19)&lt;2,"待执行",IF(OR(F19&lt;=0,G19&lt;0,G19&gt;F19,MOD(F19,1)&lt;&gt;0,MOD(G19,1)&lt;&gt;0),"输入有误",IF(1-G19/F19&lt;E19,"未达标",IF(F19&lt;D19,"样本不足",IF(OR(H19="",I19="",J19=""),"待补证据","通过")))))</x:f>
        <x:v>待执行</x:v>
      </x:c>
      <x:c r="L19" s="10" t="str">
        <x:f>IF(OR(COUNT(F19:G19)&lt;2,F19&lt;=0,G19&lt;0,G19&gt;F19),"",1-G19/F19)</x:f>
      </x:c>
      <x:c r="M19" s="10" t="str">
        <x:f>IF(AND(COUNT(F19:G19)=2,F19&gt;0,G19=0),1-0.05^(1/F19),"")</x:f>
      </x:c>
      <x:c r="N19" s="10" t="str">
        <x:f>IF(ISNUMBER(L19),(L19+1.96^2/(2*F19)-1.96*SQRT(L19*(1-L19)/F19+1.96^2/(4*F19^2)))/(1+1.96^2/F19),"")</x:f>
      </x:c>
    </x:row>
    <x:row r="20" ht="48" customHeight="1">
      <x:c r="A20" s="3" t="str">
        <x:v>M03</x:v>
      </x:c>
      <x:c r="B20" s="3" t="str">
        <x:v>接入后</x:v>
      </x:c>
      <x:c r="C20" s="3" t="str">
        <x:v>来源支持率</x:v>
      </x:c>
      <x:c r="D20" s="3" t="n">
        <x:v>120</x:v>
      </x:c>
      <x:c r="E20" s="7" t="n">
        <x:v>0.98</x:v>
      </x:c>
      <x:c r="F20" s="9"/>
      <x:c r="G20" s="9"/>
      <x:c r="H20" s="9"/>
      <x:c r="I20" s="9"/>
      <x:c r="J20" s="9"/>
      <x:c r="K20" s="3" t="str">
        <x:f>IF(COUNT(F20:G20)&lt;2,"待执行",IF(OR(F20&lt;=0,G20&lt;0,G20&gt;F20,MOD(F20,1)&lt;&gt;0,MOD(G20,1)&lt;&gt;0),"输入有误",IF(1-G20/F20&lt;E20,"未达标",IF(F20&lt;D20,"样本不足",IF(OR(H20="",I20="",J20=""),"待补证据","通过")))))</x:f>
        <x:v>待执行</x:v>
      </x:c>
      <x:c r="L20" s="10" t="str">
        <x:f>IF(OR(COUNT(F20:G20)&lt;2,F20&lt;=0,G20&lt;0,G20&gt;F20),"",1-G20/F20)</x:f>
      </x:c>
      <x:c r="M20" s="10" t="str">
        <x:f>IF(AND(COUNT(F20:G20)=2,F20&gt;0,G20=0),1-0.05^(1/F20),"")</x:f>
      </x:c>
      <x:c r="N20" s="10" t="str">
        <x:f>IF(ISNUMBER(L20),(L20+1.96^2/(2*F20)-1.96*SQRT(L20*(1-L20)/F20+1.96^2/(4*F20^2)))/(1+1.96^2/F20),"")</x:f>
      </x:c>
    </x:row>
    <x:row r="21" ht="48" customHeight="1">
      <x:c r="A21" s="3" t="str">
        <x:v>M04</x:v>
      </x:c>
      <x:c r="B21" s="3" t="str">
        <x:v>接入后</x:v>
      </x:c>
      <x:c r="C21" s="3" t="str">
        <x:v>纠错传播</x:v>
      </x:c>
      <x:c r="D21" s="3" t="n">
        <x:v>100</x:v>
      </x:c>
      <x:c r="E21" s="7" t="n">
        <x:v>1</x:v>
      </x:c>
      <x:c r="F21" s="9"/>
      <x:c r="G21" s="9"/>
      <x:c r="H21" s="9"/>
      <x:c r="I21" s="9"/>
      <x:c r="J21" s="9"/>
      <x:c r="K21" s="3" t="str">
        <x:f>IF(COUNT(F21:G21)&lt;2,"待执行",IF(OR(F21&lt;=0,G21&lt;0,G21&gt;F21,MOD(F21,1)&lt;&gt;0,MOD(G21,1)&lt;&gt;0),"输入有误",IF(1-G21/F21&lt;E21,"未达标",IF(F21&lt;D21,"样本不足",IF(OR(H21="",I21="",J21=""),"待补证据","通过")))))</x:f>
        <x:v>待执行</x:v>
      </x:c>
      <x:c r="L21" s="10" t="str">
        <x:f>IF(OR(COUNT(F21:G21)&lt;2,F21&lt;=0,G21&lt;0,G21&gt;F21),"",1-G21/F21)</x:f>
      </x:c>
      <x:c r="M21" s="10" t="str">
        <x:f>IF(AND(COUNT(F21:G21)=2,F21&gt;0,G21=0),1-0.05^(1/F21),"")</x:f>
      </x:c>
      <x:c r="N21" s="10" t="str">
        <x:f>IF(ISNUMBER(L21),(L21+1.96^2/(2*F21)-1.96*SQRT(L21*(1-L21)/F21+1.96^2/(4*F21^2)))/(1+1.96^2/F21),"")</x:f>
      </x:c>
    </x:row>
    <x:row r="22" ht="48" customHeight="1">
      <x:c r="A22" s="3" t="str">
        <x:v>M05</x:v>
      </x:c>
      <x:c r="B22" s="3" t="str">
        <x:v>接入后</x:v>
      </x:c>
      <x:c r="C22" s="3" t="str">
        <x:v>权限撤回</x:v>
      </x:c>
      <x:c r="D22" s="3" t="n">
        <x:v>100</x:v>
      </x:c>
      <x:c r="E22" s="7" t="n">
        <x:v>1</x:v>
      </x:c>
      <x:c r="F22" s="9"/>
      <x:c r="G22" s="9"/>
      <x:c r="H22" s="9"/>
      <x:c r="I22" s="9"/>
      <x:c r="J22" s="9"/>
      <x:c r="K22" s="3" t="str">
        <x:f>IF(COUNT(F22:G22)&lt;2,"待执行",IF(OR(F22&lt;=0,G22&lt;0,G22&gt;F22,MOD(F22,1)&lt;&gt;0,MOD(G22,1)&lt;&gt;0),"输入有误",IF(1-G22/F22&lt;E22,"未达标",IF(F22&lt;D22,"样本不足",IF(OR(H22="",I22="",J22=""),"待补证据","通过")))))</x:f>
        <x:v>待执行</x:v>
      </x:c>
      <x:c r="L22" s="10" t="str">
        <x:f>IF(OR(COUNT(F22:G22)&lt;2,F22&lt;=0,G22&lt;0,G22&gt;F22),"",1-G22/F22)</x:f>
      </x:c>
      <x:c r="M22" s="10" t="str">
        <x:f>IF(AND(COUNT(F22:G22)=2,F22&gt;0,G22=0),1-0.05^(1/F22),"")</x:f>
      </x:c>
      <x:c r="N22" s="10" t="str">
        <x:f>IF(ISNUMBER(L22),(L22+1.96^2/(2*F22)-1.96*SQRT(L22*(1-L22)/F22+1.96^2/(4*F22^2)))/(1+1.96^2/F22),"")</x:f>
      </x:c>
    </x:row>
    <x:row r="23" ht="48" customHeight="1">
      <x:c r="A23" s="3" t="str">
        <x:v>M06</x:v>
      </x:c>
      <x:c r="B23" s="3" t="str">
        <x:v>接入后</x:v>
      </x:c>
      <x:c r="C23" s="3" t="str">
        <x:v>删除传播</x:v>
      </x:c>
      <x:c r="D23" s="3" t="n">
        <x:v>100</x:v>
      </x:c>
      <x:c r="E23" s="7" t="n">
        <x:v>1</x:v>
      </x:c>
      <x:c r="F23" s="9"/>
      <x:c r="G23" s="9"/>
      <x:c r="H23" s="9"/>
      <x:c r="I23" s="9"/>
      <x:c r="J23" s="9"/>
      <x:c r="K23" s="3" t="str">
        <x:f>IF(COUNT(F23:G23)&lt;2,"待执行",IF(OR(F23&lt;=0,G23&lt;0,G23&gt;F23,MOD(F23,1)&lt;&gt;0,MOD(G23,1)&lt;&gt;0),"输入有误",IF(1-G23/F23&lt;E23,"未达标",IF(F23&lt;D23,"样本不足",IF(OR(H23="",I23="",J23=""),"待补证据","通过")))))</x:f>
        <x:v>待执行</x:v>
      </x:c>
      <x:c r="L23" s="10" t="str">
        <x:f>IF(OR(COUNT(F23:G23)&lt;2,F23&lt;=0,G23&lt;0,G23&gt;F23),"",1-G23/F23)</x:f>
      </x:c>
      <x:c r="M23" s="10" t="str">
        <x:f>IF(AND(COUNT(F23:G23)=2,F23&gt;0,G23=0),1-0.05^(1/F23),"")</x:f>
      </x:c>
      <x:c r="N23" s="10" t="str">
        <x:f>IF(ISNUMBER(L23),(L23+1.96^2/(2*F23)-1.96*SQRT(L23*(1-L23)/F23+1.96^2/(4*F23^2)))/(1+1.96^2/F23),"")</x:f>
      </x:c>
    </x:row>
    <x:row r="24" ht="48" customHeight="1">
      <x:c r="A24" s="3" t="str">
        <x:v>M07</x:v>
      </x:c>
      <x:c r="B24" s="3" t="str">
        <x:v>接入后</x:v>
      </x:c>
      <x:c r="C24" s="3" t="str">
        <x:v>说话人归属</x:v>
      </x:c>
      <x:c r="D24" s="3" t="n">
        <x:v>120</x:v>
      </x:c>
      <x:c r="E24" s="7" t="n">
        <x:v>0.98</x:v>
      </x:c>
      <x:c r="F24" s="9"/>
      <x:c r="G24" s="9"/>
      <x:c r="H24" s="9"/>
      <x:c r="I24" s="9"/>
      <x:c r="J24" s="9"/>
      <x:c r="K24" s="3" t="str">
        <x:f>IF(COUNT(F24:G24)&lt;2,"待执行",IF(OR(F24&lt;=0,G24&lt;0,G24&gt;F24,MOD(F24,1)&lt;&gt;0,MOD(G24,1)&lt;&gt;0),"输入有误",IF(1-G24/F24&lt;E24,"未达标",IF(F24&lt;D24,"样本不足",IF(OR(H24="",I24="",J24=""),"待补证据","通过")))))</x:f>
        <x:v>待执行</x:v>
      </x:c>
      <x:c r="L24" s="10" t="str">
        <x:f>IF(OR(COUNT(F24:G24)&lt;2,F24&lt;=0,G24&lt;0,G24&gt;F24),"",1-G24/F24)</x:f>
      </x:c>
      <x:c r="M24" s="10" t="str">
        <x:f>IF(AND(COUNT(F24:G24)=2,F24&gt;0,G24=0),1-0.05^(1/F24),"")</x:f>
      </x:c>
      <x:c r="N24" s="10" t="str">
        <x:f>IF(ISNUMBER(L24),(L24+1.96^2/(2*F24)-1.96*SQRT(L24*(1-L24)/F24+1.96^2/(4*F24^2)))/(1+1.96^2/F24),"")</x:f>
      </x:c>
    </x:row>
    <x:row r="25" ht="48" customHeight="1">
      <x:c r="A25" s="3" t="str">
        <x:v>M08</x:v>
      </x:c>
      <x:c r="B25" s="3" t="str">
        <x:v>接入后</x:v>
      </x:c>
      <x:c r="C25" s="3" t="str">
        <x:v>文档指令隔离</x:v>
      </x:c>
      <x:c r="D25" s="3" t="n">
        <x:v>100</x:v>
      </x:c>
      <x:c r="E25" s="7" t="n">
        <x:v>1</x:v>
      </x:c>
      <x:c r="F25" s="9"/>
      <x:c r="G25" s="9"/>
      <x:c r="H25" s="9"/>
      <x:c r="I25" s="9"/>
      <x:c r="J25" s="9"/>
      <x:c r="K25" s="3" t="str">
        <x:f>IF(COUNT(F25:G25)&lt;2,"待执行",IF(OR(F25&lt;=0,G25&lt;0,G25&gt;F25,MOD(F25,1)&lt;&gt;0,MOD(G25,1)&lt;&gt;0),"输入有误",IF(1-G25/F25&lt;E25,"未达标",IF(F25&lt;D25,"样本不足",IF(OR(H25="",I25="",J25=""),"待补证据","通过")))))</x:f>
        <x:v>待执行</x:v>
      </x:c>
      <x:c r="L25" s="10" t="str">
        <x:f>IF(OR(COUNT(F25:G25)&lt;2,F25&lt;=0,G25&lt;0,G25&gt;F25),"",1-G25/F25)</x:f>
      </x:c>
      <x:c r="M25" s="10" t="str">
        <x:f>IF(AND(COUNT(F25:G25)=2,F25&gt;0,G25=0),1-0.05^(1/F25),"")</x:f>
      </x:c>
      <x:c r="N25" s="10" t="str">
        <x:f>IF(ISNUMBER(L25),(L25+1.96^2/(2*F25)-1.96*SQRT(L25*(1-L25)/F25+1.96^2/(4*F25^2)))/(1+1.96^2/F25),"")</x:f>
      </x:c>
    </x:row>
    <x:row r="26" ht="3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30" customHeight="1">
      <x:c r="A28" s="3" t="str">
        <x:v>口径：错误次数按本行测试单元计；零错风险上界为单侧95%，Wilson列为正确率双侧95%区间下界。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</x:row>
    <x:row r="29" ht="30" customHeight="1">
      <x:c r="A29" s="3" t="str">
        <x:v>比例门槛按点估计判断，同时报告区间。每轮测试保留独立副本，失败修复后另开记录，不覆盖旧证据。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</x:row>
    <x:row r="31" ht="3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</x:row>
    <x:row r="32" ht="3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</x:row>
    <x:row r="40" ht="3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</x:row>
    <x:row r="41" ht="3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</x:row>
    <x:row r="42" ht="3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</x:row>
    <x:row r="43" ht="3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</x:row>
    <x:row r="44" ht="3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</x:row>
    <x:row r="45" ht="3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</x:row>
    <x:row r="46" ht="3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</x:row>
    <x:row r="47" ht="3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</x:row>
    <x:row r="48" ht="3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</x:row>
    <x:row r="49" ht="3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</x:row>
    <x:row r="50" ht="3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</x:row>
  </x:sheetData>
  <x:mergeCells>
    <x:mergeCell ref="A3:G3"/>
    <x:mergeCell ref="A2:G2"/>
    <x:mergeCell ref="A28:G28"/>
    <x:mergeCell ref="A29:G2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20" hidden="0" customWidth="1"/>
    <x:col min="4" max="4" width="15" hidden="0" customWidth="1"/>
    <x:col min="5" max="5" width="15" hidden="0" customWidth="1"/>
    <x:col min="6" max="6" width="15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16"/>
    </x:row>
    <x:row r="2" ht="40" customHeight="1">
      <x:c r="A2" s="4" t="str">
        <x:v>用户任务 / 随机交叉试点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16"/>
    </x:row>
    <x:row r="3" ht="30" customHeight="1">
      <x:c r="A3" s="3" t="str">
        <x:v>A=普通转录，B=单次总结，C=知序；时间含核查与等待。每人一次等价任务组，顺序随机。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16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16"/>
    </x:row>
    <x:row r="5" ht="42" customHeight="1">
      <x:c r="A5" s="6" t="str">
        <x:v>参与者ID</x:v>
      </x:c>
      <x:c r="B5" s="6" t="str">
        <x:v>随机顺序</x:v>
      </x:c>
      <x:c r="C5" s="6" t="str">
        <x:v>任务组 / 证据</x:v>
      </x:c>
      <x:c r="D5" s="6" t="str">
        <x:v>A时间/分钟</x:v>
      </x:c>
      <x:c r="E5" s="6" t="str">
        <x:v>B时间/分钟</x:v>
      </x:c>
      <x:c r="F5" s="6" t="str">
        <x:v>C时间/分钟</x:v>
      </x:c>
      <x:c r="G5" s="6" t="str">
        <x:v>B质量/5分</x:v>
      </x:c>
      <x:c r="H5" s="6" t="str">
        <x:v>C质量/5分</x:v>
      </x:c>
      <x:c r="I5" s="6" t="str">
        <x:v>提醒总数</x:v>
      </x:c>
      <x:c r="J5" s="6" t="str">
        <x:v>有用提醒数</x:v>
      </x:c>
      <x:c r="K5" s="6" t="str">
        <x:v>打扰提醒数</x:v>
      </x:c>
      <x:c r="L5" s="6" t="str">
        <x:v>完整性</x:v>
      </x:c>
      <x:c r="M5" s="6" t="str">
        <x:v>时间收益</x:v>
      </x:c>
      <x:c r="N5" s="6" t="str">
        <x:v>质量变化</x:v>
      </x:c>
      <x:c r="O5" s="6" t="str">
        <x:v>有效打扰数</x:v>
      </x:c>
    </x:row>
    <x:row r="6" ht="30" customHeight="1">
      <x:c r="A6" s="9"/>
      <x:c r="B6" s="9"/>
      <x:c r="C6" s="9"/>
      <x:c r="D6" s="11"/>
      <x:c r="E6" s="11"/>
      <x:c r="F6" s="11"/>
      <x:c r="G6" s="11"/>
      <x:c r="H6" s="11"/>
      <x:c r="I6" s="9"/>
      <x:c r="J6" s="9"/>
      <x:c r="K6" s="9"/>
      <x:c r="L6" s="3" t="str">
        <x:f>IF(COUNTA(A6:K6)=0,"待执行",IF(OR(A6="",B6="",C6="",COUNT(D6:K6)&lt;8),"缺记录",IF(OR(MIN(D6:F6)&lt;=0,MIN(G6:K6)&lt;0,G6&gt;5,H6&gt;5,J6&gt;I6,K6&gt;I6,MOD(I6,1)&lt;&gt;0,MOD(J6,1)&lt;&gt;0,MOD(K6,1)&lt;&gt;0),"输入有误",IF(COUNTIF(A$6:A$25,A6)&gt;1,"重复ID","完整"))))</x:f>
        <x:v>待执行</x:v>
      </x:c>
      <x:c r="M6" s="10" t="str">
        <x:f>IF(L6="完整",(E6-F6)/E6,"")</x:f>
      </x:c>
      <x:c r="N6" s="12" t="str">
        <x:f>IF(L6="完整",H6-G6,"")</x:f>
      </x:c>
      <x:c r="O6" s="16" t="str">
        <x:f>IF(L6="完整",K6,"")</x:f>
      </x:c>
    </x:row>
    <x:row r="7" ht="30" customHeight="1">
      <x:c r="A7" s="9"/>
      <x:c r="B7" s="9"/>
      <x:c r="C7" s="9"/>
      <x:c r="D7" s="11"/>
      <x:c r="E7" s="11"/>
      <x:c r="F7" s="11"/>
      <x:c r="G7" s="11"/>
      <x:c r="H7" s="11"/>
      <x:c r="I7" s="9"/>
      <x:c r="J7" s="9"/>
      <x:c r="K7" s="9"/>
      <x:c r="L7" s="3" t="str">
        <x:f>IF(COUNTA(A7:K7)=0,"待执行",IF(OR(A7="",B7="",C7="",COUNT(D7:K7)&lt;8),"缺记录",IF(OR(MIN(D7:F7)&lt;=0,MIN(G7:K7)&lt;0,G7&gt;5,H7&gt;5,J7&gt;I7,K7&gt;I7,MOD(I7,1)&lt;&gt;0,MOD(J7,1)&lt;&gt;0,MOD(K7,1)&lt;&gt;0),"输入有误",IF(COUNTIF(A$6:A$25,A7)&gt;1,"重复ID","完整"))))</x:f>
        <x:v>待执行</x:v>
      </x:c>
      <x:c r="M7" s="10" t="str">
        <x:f>IF(L7="完整",(E7-F7)/E7,"")</x:f>
      </x:c>
      <x:c r="N7" s="12" t="str">
        <x:f>IF(L7="完整",H7-G7,"")</x:f>
      </x:c>
      <x:c r="O7" s="16" t="str">
        <x:f>IF(L7="完整",K7,"")</x:f>
      </x:c>
    </x:row>
    <x:row r="8" ht="30" customHeight="1">
      <x:c r="A8" s="9"/>
      <x:c r="B8" s="9"/>
      <x:c r="C8" s="9"/>
      <x:c r="D8" s="11"/>
      <x:c r="E8" s="11"/>
      <x:c r="F8" s="11"/>
      <x:c r="G8" s="11"/>
      <x:c r="H8" s="11"/>
      <x:c r="I8" s="9"/>
      <x:c r="J8" s="9"/>
      <x:c r="K8" s="9"/>
      <x:c r="L8" s="3" t="str">
        <x:f>IF(COUNTA(A8:K8)=0,"待执行",IF(OR(A8="",B8="",C8="",COUNT(D8:K8)&lt;8),"缺记录",IF(OR(MIN(D8:F8)&lt;=0,MIN(G8:K8)&lt;0,G8&gt;5,H8&gt;5,J8&gt;I8,K8&gt;I8,MOD(I8,1)&lt;&gt;0,MOD(J8,1)&lt;&gt;0,MOD(K8,1)&lt;&gt;0),"输入有误",IF(COUNTIF(A$6:A$25,A8)&gt;1,"重复ID","完整"))))</x:f>
        <x:v>待执行</x:v>
      </x:c>
      <x:c r="M8" s="10" t="str">
        <x:f>IF(L8="完整",(E8-F8)/E8,"")</x:f>
      </x:c>
      <x:c r="N8" s="12" t="str">
        <x:f>IF(L8="完整",H8-G8,"")</x:f>
      </x:c>
      <x:c r="O8" s="16" t="str">
        <x:f>IF(L8="完整",K8,"")</x:f>
      </x:c>
    </x:row>
    <x:row r="9" ht="30" customHeight="1">
      <x:c r="A9" s="9"/>
      <x:c r="B9" s="9"/>
      <x:c r="C9" s="9"/>
      <x:c r="D9" s="11"/>
      <x:c r="E9" s="11"/>
      <x:c r="F9" s="11"/>
      <x:c r="G9" s="11"/>
      <x:c r="H9" s="11"/>
      <x:c r="I9" s="9"/>
      <x:c r="J9" s="9"/>
      <x:c r="K9" s="9"/>
      <x:c r="L9" s="3" t="str">
        <x:f>IF(COUNTA(A9:K9)=0,"待执行",IF(OR(A9="",B9="",C9="",COUNT(D9:K9)&lt;8),"缺记录",IF(OR(MIN(D9:F9)&lt;=0,MIN(G9:K9)&lt;0,G9&gt;5,H9&gt;5,J9&gt;I9,K9&gt;I9,MOD(I9,1)&lt;&gt;0,MOD(J9,1)&lt;&gt;0,MOD(K9,1)&lt;&gt;0),"输入有误",IF(COUNTIF(A$6:A$25,A9)&gt;1,"重复ID","完整"))))</x:f>
        <x:v>待执行</x:v>
      </x:c>
      <x:c r="M9" s="10" t="str">
        <x:f>IF(L9="完整",(E9-F9)/E9,"")</x:f>
      </x:c>
      <x:c r="N9" s="12" t="str">
        <x:f>IF(L9="完整",H9-G9,"")</x:f>
      </x:c>
      <x:c r="O9" s="16" t="str">
        <x:f>IF(L9="完整",K9,"")</x:f>
      </x:c>
    </x:row>
    <x:row r="10" ht="30" customHeight="1">
      <x:c r="A10" s="9"/>
      <x:c r="B10" s="9"/>
      <x:c r="C10" s="9"/>
      <x:c r="D10" s="11"/>
      <x:c r="E10" s="11"/>
      <x:c r="F10" s="11"/>
      <x:c r="G10" s="11"/>
      <x:c r="H10" s="11"/>
      <x:c r="I10" s="9"/>
      <x:c r="J10" s="9"/>
      <x:c r="K10" s="9"/>
      <x:c r="L10" s="3" t="str">
        <x:f>IF(COUNTA(A10:K10)=0,"待执行",IF(OR(A10="",B10="",C10="",COUNT(D10:K10)&lt;8),"缺记录",IF(OR(MIN(D10:F10)&lt;=0,MIN(G10:K10)&lt;0,G10&gt;5,H10&gt;5,J10&gt;I10,K10&gt;I10,MOD(I10,1)&lt;&gt;0,MOD(J10,1)&lt;&gt;0,MOD(K10,1)&lt;&gt;0),"输入有误",IF(COUNTIF(A$6:A$25,A10)&gt;1,"重复ID","完整"))))</x:f>
        <x:v>待执行</x:v>
      </x:c>
      <x:c r="M10" s="10" t="str">
        <x:f>IF(L10="完整",(E10-F10)/E10,"")</x:f>
      </x:c>
      <x:c r="N10" s="12" t="str">
        <x:f>IF(L10="完整",H10-G10,"")</x:f>
      </x:c>
      <x:c r="O10" s="16" t="str">
        <x:f>IF(L10="完整",K10,"")</x:f>
      </x:c>
    </x:row>
    <x:row r="11" ht="30" customHeight="1">
      <x:c r="A11" s="9"/>
      <x:c r="B11" s="9"/>
      <x:c r="C11" s="9"/>
      <x:c r="D11" s="11"/>
      <x:c r="E11" s="11"/>
      <x:c r="F11" s="11"/>
      <x:c r="G11" s="11"/>
      <x:c r="H11" s="11"/>
      <x:c r="I11" s="9"/>
      <x:c r="J11" s="9"/>
      <x:c r="K11" s="9"/>
      <x:c r="L11" s="3" t="str">
        <x:f>IF(COUNTA(A11:K11)=0,"待执行",IF(OR(A11="",B11="",C11="",COUNT(D11:K11)&lt;8),"缺记录",IF(OR(MIN(D11:F11)&lt;=0,MIN(G11:K11)&lt;0,G11&gt;5,H11&gt;5,J11&gt;I11,K11&gt;I11,MOD(I11,1)&lt;&gt;0,MOD(J11,1)&lt;&gt;0,MOD(K11,1)&lt;&gt;0),"输入有误",IF(COUNTIF(A$6:A$25,A11)&gt;1,"重复ID","完整"))))</x:f>
        <x:v>待执行</x:v>
      </x:c>
      <x:c r="M11" s="10" t="str">
        <x:f>IF(L11="完整",(E11-F11)/E11,"")</x:f>
      </x:c>
      <x:c r="N11" s="12" t="str">
        <x:f>IF(L11="完整",H11-G11,"")</x:f>
      </x:c>
      <x:c r="O11" s="16" t="str">
        <x:f>IF(L11="完整",K11,"")</x:f>
      </x:c>
    </x:row>
    <x:row r="12" ht="30" customHeight="1">
      <x:c r="A12" s="9"/>
      <x:c r="B12" s="9"/>
      <x:c r="C12" s="9"/>
      <x:c r="D12" s="11"/>
      <x:c r="E12" s="11"/>
      <x:c r="F12" s="11"/>
      <x:c r="G12" s="11"/>
      <x:c r="H12" s="11"/>
      <x:c r="I12" s="9"/>
      <x:c r="J12" s="9"/>
      <x:c r="K12" s="9"/>
      <x:c r="L12" s="3" t="str">
        <x:f>IF(COUNTA(A12:K12)=0,"待执行",IF(OR(A12="",B12="",C12="",COUNT(D12:K12)&lt;8),"缺记录",IF(OR(MIN(D12:F12)&lt;=0,MIN(G12:K12)&lt;0,G12&gt;5,H12&gt;5,J12&gt;I12,K12&gt;I12,MOD(I12,1)&lt;&gt;0,MOD(J12,1)&lt;&gt;0,MOD(K12,1)&lt;&gt;0),"输入有误",IF(COUNTIF(A$6:A$25,A12)&gt;1,"重复ID","完整"))))</x:f>
        <x:v>待执行</x:v>
      </x:c>
      <x:c r="M12" s="10" t="str">
        <x:f>IF(L12="完整",(E12-F12)/E12,"")</x:f>
      </x:c>
      <x:c r="N12" s="12" t="str">
        <x:f>IF(L12="完整",H12-G12,"")</x:f>
      </x:c>
      <x:c r="O12" s="16" t="str">
        <x:f>IF(L12="完整",K12,"")</x:f>
      </x:c>
    </x:row>
    <x:row r="13" ht="30" customHeight="1">
      <x:c r="A13" s="9"/>
      <x:c r="B13" s="9"/>
      <x:c r="C13" s="9"/>
      <x:c r="D13" s="11"/>
      <x:c r="E13" s="11"/>
      <x:c r="F13" s="11"/>
      <x:c r="G13" s="11"/>
      <x:c r="H13" s="11"/>
      <x:c r="I13" s="9"/>
      <x:c r="J13" s="9"/>
      <x:c r="K13" s="9"/>
      <x:c r="L13" s="3" t="str">
        <x:f>IF(COUNTA(A13:K13)=0,"待执行",IF(OR(A13="",B13="",C13="",COUNT(D13:K13)&lt;8),"缺记录",IF(OR(MIN(D13:F13)&lt;=0,MIN(G13:K13)&lt;0,G13&gt;5,H13&gt;5,J13&gt;I13,K13&gt;I13,MOD(I13,1)&lt;&gt;0,MOD(J13,1)&lt;&gt;0,MOD(K13,1)&lt;&gt;0),"输入有误",IF(COUNTIF(A$6:A$25,A13)&gt;1,"重复ID","完整"))))</x:f>
        <x:v>待执行</x:v>
      </x:c>
      <x:c r="M13" s="10" t="str">
        <x:f>IF(L13="完整",(E13-F13)/E13,"")</x:f>
      </x:c>
      <x:c r="N13" s="12" t="str">
        <x:f>IF(L13="完整",H13-G13,"")</x:f>
      </x:c>
      <x:c r="O13" s="16" t="str">
        <x:f>IF(L13="完整",K13,"")</x:f>
      </x:c>
    </x:row>
    <x:row r="14" ht="30" customHeight="1">
      <x:c r="A14" s="9"/>
      <x:c r="B14" s="9"/>
      <x:c r="C14" s="9"/>
      <x:c r="D14" s="11"/>
      <x:c r="E14" s="11"/>
      <x:c r="F14" s="11"/>
      <x:c r="G14" s="11"/>
      <x:c r="H14" s="11"/>
      <x:c r="I14" s="9"/>
      <x:c r="J14" s="9"/>
      <x:c r="K14" s="9"/>
      <x:c r="L14" s="3" t="str">
        <x:f>IF(COUNTA(A14:K14)=0,"待执行",IF(OR(A14="",B14="",C14="",COUNT(D14:K14)&lt;8),"缺记录",IF(OR(MIN(D14:F14)&lt;=0,MIN(G14:K14)&lt;0,G14&gt;5,H14&gt;5,J14&gt;I14,K14&gt;I14,MOD(I14,1)&lt;&gt;0,MOD(J14,1)&lt;&gt;0,MOD(K14,1)&lt;&gt;0),"输入有误",IF(COUNTIF(A$6:A$25,A14)&gt;1,"重复ID","完整"))))</x:f>
        <x:v>待执行</x:v>
      </x:c>
      <x:c r="M14" s="10" t="str">
        <x:f>IF(L14="完整",(E14-F14)/E14,"")</x:f>
      </x:c>
      <x:c r="N14" s="12" t="str">
        <x:f>IF(L14="完整",H14-G14,"")</x:f>
      </x:c>
      <x:c r="O14" s="16" t="str">
        <x:f>IF(L14="完整",K14,"")</x:f>
      </x:c>
    </x:row>
    <x:row r="15" ht="30" customHeight="1">
      <x:c r="A15" s="9"/>
      <x:c r="B15" s="9"/>
      <x:c r="C15" s="9"/>
      <x:c r="D15" s="11"/>
      <x:c r="E15" s="11"/>
      <x:c r="F15" s="11"/>
      <x:c r="G15" s="11"/>
      <x:c r="H15" s="11"/>
      <x:c r="I15" s="9"/>
      <x:c r="J15" s="9"/>
      <x:c r="K15" s="9"/>
      <x:c r="L15" s="3" t="str">
        <x:f>IF(COUNTA(A15:K15)=0,"待执行",IF(OR(A15="",B15="",C15="",COUNT(D15:K15)&lt;8),"缺记录",IF(OR(MIN(D15:F15)&lt;=0,MIN(G15:K15)&lt;0,G15&gt;5,H15&gt;5,J15&gt;I15,K15&gt;I15,MOD(I15,1)&lt;&gt;0,MOD(J15,1)&lt;&gt;0,MOD(K15,1)&lt;&gt;0),"输入有误",IF(COUNTIF(A$6:A$25,A15)&gt;1,"重复ID","完整"))))</x:f>
        <x:v>待执行</x:v>
      </x:c>
      <x:c r="M15" s="10" t="str">
        <x:f>IF(L15="完整",(E15-F15)/E15,"")</x:f>
      </x:c>
      <x:c r="N15" s="12" t="str">
        <x:f>IF(L15="完整",H15-G15,"")</x:f>
      </x:c>
      <x:c r="O15" s="16" t="str">
        <x:f>IF(L15="完整",K15,"")</x:f>
      </x:c>
    </x:row>
    <x:row r="16" ht="30" customHeight="1">
      <x:c r="A16" s="9"/>
      <x:c r="B16" s="9"/>
      <x:c r="C16" s="9"/>
      <x:c r="D16" s="11"/>
      <x:c r="E16" s="11"/>
      <x:c r="F16" s="11"/>
      <x:c r="G16" s="11"/>
      <x:c r="H16" s="11"/>
      <x:c r="I16" s="9"/>
      <x:c r="J16" s="9"/>
      <x:c r="K16" s="9"/>
      <x:c r="L16" s="3" t="str">
        <x:f>IF(COUNTA(A16:K16)=0,"待执行",IF(OR(A16="",B16="",C16="",COUNT(D16:K16)&lt;8),"缺记录",IF(OR(MIN(D16:F16)&lt;=0,MIN(G16:K16)&lt;0,G16&gt;5,H16&gt;5,J16&gt;I16,K16&gt;I16,MOD(I16,1)&lt;&gt;0,MOD(J16,1)&lt;&gt;0,MOD(K16,1)&lt;&gt;0),"输入有误",IF(COUNTIF(A$6:A$25,A16)&gt;1,"重复ID","完整"))))</x:f>
        <x:v>待执行</x:v>
      </x:c>
      <x:c r="M16" s="10" t="str">
        <x:f>IF(L16="完整",(E16-F16)/E16,"")</x:f>
      </x:c>
      <x:c r="N16" s="12" t="str">
        <x:f>IF(L16="完整",H16-G16,"")</x:f>
      </x:c>
      <x:c r="O16" s="16" t="str">
        <x:f>IF(L16="完整",K16,"")</x:f>
      </x:c>
    </x:row>
    <x:row r="17" ht="30" customHeight="1">
      <x:c r="A17" s="9"/>
      <x:c r="B17" s="9"/>
      <x:c r="C17" s="9"/>
      <x:c r="D17" s="11"/>
      <x:c r="E17" s="11"/>
      <x:c r="F17" s="11"/>
      <x:c r="G17" s="11"/>
      <x:c r="H17" s="11"/>
      <x:c r="I17" s="9"/>
      <x:c r="J17" s="9"/>
      <x:c r="K17" s="9"/>
      <x:c r="L17" s="3" t="str">
        <x:f>IF(COUNTA(A17:K17)=0,"待执行",IF(OR(A17="",B17="",C17="",COUNT(D17:K17)&lt;8),"缺记录",IF(OR(MIN(D17:F17)&lt;=0,MIN(G17:K17)&lt;0,G17&gt;5,H17&gt;5,J17&gt;I17,K17&gt;I17,MOD(I17,1)&lt;&gt;0,MOD(J17,1)&lt;&gt;0,MOD(K17,1)&lt;&gt;0),"输入有误",IF(COUNTIF(A$6:A$25,A17)&gt;1,"重复ID","完整"))))</x:f>
        <x:v>待执行</x:v>
      </x:c>
      <x:c r="M17" s="10" t="str">
        <x:f>IF(L17="完整",(E17-F17)/E17,"")</x:f>
      </x:c>
      <x:c r="N17" s="12" t="str">
        <x:f>IF(L17="完整",H17-G17,"")</x:f>
      </x:c>
      <x:c r="O17" s="16" t="str">
        <x:f>IF(L17="完整",K17,"")</x:f>
      </x:c>
    </x:row>
    <x:row r="18" ht="30" customHeight="1">
      <x:c r="A18" s="9"/>
      <x:c r="B18" s="9"/>
      <x:c r="C18" s="9"/>
      <x:c r="D18" s="11"/>
      <x:c r="E18" s="11"/>
      <x:c r="F18" s="11"/>
      <x:c r="G18" s="11"/>
      <x:c r="H18" s="11"/>
      <x:c r="I18" s="9"/>
      <x:c r="J18" s="9"/>
      <x:c r="K18" s="9"/>
      <x:c r="L18" s="3" t="str">
        <x:f>IF(COUNTA(A18:K18)=0,"待执行",IF(OR(A18="",B18="",C18="",COUNT(D18:K18)&lt;8),"缺记录",IF(OR(MIN(D18:F18)&lt;=0,MIN(G18:K18)&lt;0,G18&gt;5,H18&gt;5,J18&gt;I18,K18&gt;I18,MOD(I18,1)&lt;&gt;0,MOD(J18,1)&lt;&gt;0,MOD(K18,1)&lt;&gt;0),"输入有误",IF(COUNTIF(A$6:A$25,A18)&gt;1,"重复ID","完整"))))</x:f>
        <x:v>待执行</x:v>
      </x:c>
      <x:c r="M18" s="10" t="str">
        <x:f>IF(L18="完整",(E18-F18)/E18,"")</x:f>
      </x:c>
      <x:c r="N18" s="12" t="str">
        <x:f>IF(L18="完整",H18-G18,"")</x:f>
      </x:c>
      <x:c r="O18" s="16" t="str">
        <x:f>IF(L18="完整",K18,"")</x:f>
      </x:c>
    </x:row>
    <x:row r="19" ht="30" customHeight="1">
      <x:c r="A19" s="9"/>
      <x:c r="B19" s="9"/>
      <x:c r="C19" s="9"/>
      <x:c r="D19" s="11"/>
      <x:c r="E19" s="11"/>
      <x:c r="F19" s="11"/>
      <x:c r="G19" s="11"/>
      <x:c r="H19" s="11"/>
      <x:c r="I19" s="9"/>
      <x:c r="J19" s="9"/>
      <x:c r="K19" s="9"/>
      <x:c r="L19" s="3" t="str">
        <x:f>IF(COUNTA(A19:K19)=0,"待执行",IF(OR(A19="",B19="",C19="",COUNT(D19:K19)&lt;8),"缺记录",IF(OR(MIN(D19:F19)&lt;=0,MIN(G19:K19)&lt;0,G19&gt;5,H19&gt;5,J19&gt;I19,K19&gt;I19,MOD(I19,1)&lt;&gt;0,MOD(J19,1)&lt;&gt;0,MOD(K19,1)&lt;&gt;0),"输入有误",IF(COUNTIF(A$6:A$25,A19)&gt;1,"重复ID","完整"))))</x:f>
        <x:v>待执行</x:v>
      </x:c>
      <x:c r="M19" s="10" t="str">
        <x:f>IF(L19="完整",(E19-F19)/E19,"")</x:f>
      </x:c>
      <x:c r="N19" s="12" t="str">
        <x:f>IF(L19="完整",H19-G19,"")</x:f>
      </x:c>
      <x:c r="O19" s="16" t="str">
        <x:f>IF(L19="完整",K19,"")</x:f>
      </x:c>
    </x:row>
    <x:row r="20" ht="30" customHeight="1">
      <x:c r="A20" s="9"/>
      <x:c r="B20" s="9"/>
      <x:c r="C20" s="9"/>
      <x:c r="D20" s="11"/>
      <x:c r="E20" s="11"/>
      <x:c r="F20" s="11"/>
      <x:c r="G20" s="11"/>
      <x:c r="H20" s="11"/>
      <x:c r="I20" s="9"/>
      <x:c r="J20" s="9"/>
      <x:c r="K20" s="9"/>
      <x:c r="L20" s="3" t="str">
        <x:f>IF(COUNTA(A20:K20)=0,"待执行",IF(OR(A20="",B20="",C20="",COUNT(D20:K20)&lt;8),"缺记录",IF(OR(MIN(D20:F20)&lt;=0,MIN(G20:K20)&lt;0,G20&gt;5,H20&gt;5,J20&gt;I20,K20&gt;I20,MOD(I20,1)&lt;&gt;0,MOD(J20,1)&lt;&gt;0,MOD(K20,1)&lt;&gt;0),"输入有误",IF(COUNTIF(A$6:A$25,A20)&gt;1,"重复ID","完整"))))</x:f>
        <x:v>待执行</x:v>
      </x:c>
      <x:c r="M20" s="10" t="str">
        <x:f>IF(L20="完整",(E20-F20)/E20,"")</x:f>
      </x:c>
      <x:c r="N20" s="12" t="str">
        <x:f>IF(L20="完整",H20-G20,"")</x:f>
      </x:c>
      <x:c r="O20" s="16" t="str">
        <x:f>IF(L20="完整",K20,"")</x:f>
      </x:c>
    </x:row>
    <x:row r="21" ht="30" customHeight="1">
      <x:c r="A21" s="9"/>
      <x:c r="B21" s="9"/>
      <x:c r="C21" s="9"/>
      <x:c r="D21" s="11"/>
      <x:c r="E21" s="11"/>
      <x:c r="F21" s="11"/>
      <x:c r="G21" s="11"/>
      <x:c r="H21" s="11"/>
      <x:c r="I21" s="9"/>
      <x:c r="J21" s="9"/>
      <x:c r="K21" s="9"/>
      <x:c r="L21" s="3" t="str">
        <x:f>IF(COUNTA(A21:K21)=0,"待执行",IF(OR(A21="",B21="",C21="",COUNT(D21:K21)&lt;8),"缺记录",IF(OR(MIN(D21:F21)&lt;=0,MIN(G21:K21)&lt;0,G21&gt;5,H21&gt;5,J21&gt;I21,K21&gt;I21,MOD(I21,1)&lt;&gt;0,MOD(J21,1)&lt;&gt;0,MOD(K21,1)&lt;&gt;0),"输入有误",IF(COUNTIF(A$6:A$25,A21)&gt;1,"重复ID","完整"))))</x:f>
        <x:v>待执行</x:v>
      </x:c>
      <x:c r="M21" s="10" t="str">
        <x:f>IF(L21="完整",(E21-F21)/E21,"")</x:f>
      </x:c>
      <x:c r="N21" s="12" t="str">
        <x:f>IF(L21="完整",H21-G21,"")</x:f>
      </x:c>
      <x:c r="O21" s="16" t="str">
        <x:f>IF(L21="完整",K21,"")</x:f>
      </x:c>
    </x:row>
    <x:row r="22" ht="30" customHeight="1">
      <x:c r="A22" s="9"/>
      <x:c r="B22" s="9"/>
      <x:c r="C22" s="9"/>
      <x:c r="D22" s="11"/>
      <x:c r="E22" s="11"/>
      <x:c r="F22" s="11"/>
      <x:c r="G22" s="11"/>
      <x:c r="H22" s="11"/>
      <x:c r="I22" s="9"/>
      <x:c r="J22" s="9"/>
      <x:c r="K22" s="9"/>
      <x:c r="L22" s="3" t="str">
        <x:f>IF(COUNTA(A22:K22)=0,"待执行",IF(OR(A22="",B22="",C22="",COUNT(D22:K22)&lt;8),"缺记录",IF(OR(MIN(D22:F22)&lt;=0,MIN(G22:K22)&lt;0,G22&gt;5,H22&gt;5,J22&gt;I22,K22&gt;I22,MOD(I22,1)&lt;&gt;0,MOD(J22,1)&lt;&gt;0,MOD(K22,1)&lt;&gt;0),"输入有误",IF(COUNTIF(A$6:A$25,A22)&gt;1,"重复ID","完整"))))</x:f>
        <x:v>待执行</x:v>
      </x:c>
      <x:c r="M22" s="10" t="str">
        <x:f>IF(L22="完整",(E22-F22)/E22,"")</x:f>
      </x:c>
      <x:c r="N22" s="12" t="str">
        <x:f>IF(L22="完整",H22-G22,"")</x:f>
      </x:c>
      <x:c r="O22" s="16" t="str">
        <x:f>IF(L22="完整",K22,"")</x:f>
      </x:c>
    </x:row>
    <x:row r="23" ht="30" customHeight="1">
      <x:c r="A23" s="9"/>
      <x:c r="B23" s="9"/>
      <x:c r="C23" s="9"/>
      <x:c r="D23" s="11"/>
      <x:c r="E23" s="11"/>
      <x:c r="F23" s="11"/>
      <x:c r="G23" s="11"/>
      <x:c r="H23" s="11"/>
      <x:c r="I23" s="9"/>
      <x:c r="J23" s="9"/>
      <x:c r="K23" s="9"/>
      <x:c r="L23" s="3" t="str">
        <x:f>IF(COUNTA(A23:K23)=0,"待执行",IF(OR(A23="",B23="",C23="",COUNT(D23:K23)&lt;8),"缺记录",IF(OR(MIN(D23:F23)&lt;=0,MIN(G23:K23)&lt;0,G23&gt;5,H23&gt;5,J23&gt;I23,K23&gt;I23,MOD(I23,1)&lt;&gt;0,MOD(J23,1)&lt;&gt;0,MOD(K23,1)&lt;&gt;0),"输入有误",IF(COUNTIF(A$6:A$25,A23)&gt;1,"重复ID","完整"))))</x:f>
        <x:v>待执行</x:v>
      </x:c>
      <x:c r="M23" s="10" t="str">
        <x:f>IF(L23="完整",(E23-F23)/E23,"")</x:f>
      </x:c>
      <x:c r="N23" s="12" t="str">
        <x:f>IF(L23="完整",H23-G23,"")</x:f>
      </x:c>
      <x:c r="O23" s="16" t="str">
        <x:f>IF(L23="完整",K23,"")</x:f>
      </x:c>
    </x:row>
    <x:row r="24" ht="30" customHeight="1">
      <x:c r="A24" s="9"/>
      <x:c r="B24" s="9"/>
      <x:c r="C24" s="9"/>
      <x:c r="D24" s="11"/>
      <x:c r="E24" s="11"/>
      <x:c r="F24" s="11"/>
      <x:c r="G24" s="11"/>
      <x:c r="H24" s="11"/>
      <x:c r="I24" s="9"/>
      <x:c r="J24" s="9"/>
      <x:c r="K24" s="9"/>
      <x:c r="L24" s="3" t="str">
        <x:f>IF(COUNTA(A24:K24)=0,"待执行",IF(OR(A24="",B24="",C24="",COUNT(D24:K24)&lt;8),"缺记录",IF(OR(MIN(D24:F24)&lt;=0,MIN(G24:K24)&lt;0,G24&gt;5,H24&gt;5,J24&gt;I24,K24&gt;I24,MOD(I24,1)&lt;&gt;0,MOD(J24,1)&lt;&gt;0,MOD(K24,1)&lt;&gt;0),"输入有误",IF(COUNTIF(A$6:A$25,A24)&gt;1,"重复ID","完整"))))</x:f>
        <x:v>待执行</x:v>
      </x:c>
      <x:c r="M24" s="10" t="str">
        <x:f>IF(L24="完整",(E24-F24)/E24,"")</x:f>
      </x:c>
      <x:c r="N24" s="12" t="str">
        <x:f>IF(L24="完整",H24-G24,"")</x:f>
      </x:c>
      <x:c r="O24" s="16" t="str">
        <x:f>IF(L24="完整",K24,"")</x:f>
      </x:c>
    </x:row>
    <x:row r="25" ht="30" customHeight="1">
      <x:c r="A25" s="9"/>
      <x:c r="B25" s="9"/>
      <x:c r="C25" s="9"/>
      <x:c r="D25" s="11"/>
      <x:c r="E25" s="11"/>
      <x:c r="F25" s="11"/>
      <x:c r="G25" s="11"/>
      <x:c r="H25" s="11"/>
      <x:c r="I25" s="9"/>
      <x:c r="J25" s="9"/>
      <x:c r="K25" s="9"/>
      <x:c r="L25" s="3" t="str">
        <x:f>IF(COUNTA(A25:K25)=0,"待执行",IF(OR(A25="",B25="",C25="",COUNT(D25:K25)&lt;8),"缺记录",IF(OR(MIN(D25:F25)&lt;=0,MIN(G25:K25)&lt;0,G25&gt;5,H25&gt;5,J25&gt;I25,K25&gt;I25,MOD(I25,1)&lt;&gt;0,MOD(J25,1)&lt;&gt;0,MOD(K25,1)&lt;&gt;0),"输入有误",IF(COUNTIF(A$6:A$25,A25)&gt;1,"重复ID","完整"))))</x:f>
        <x:v>待执行</x:v>
      </x:c>
      <x:c r="M25" s="10" t="str">
        <x:f>IF(L25="完整",(E25-F25)/E25,"")</x:f>
      </x:c>
      <x:c r="N25" s="12" t="str">
        <x:f>IF(L25="完整",H25-G25,"")</x:f>
      </x:c>
      <x:c r="O25" s="16" t="str">
        <x:f>IF(L25="完整",K25,"")</x:f>
      </x:c>
    </x:row>
    <x:row r="26" ht="3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16"/>
    </x:row>
    <x:row r="28" ht="30" customHeight="1">
      <x:c r="A28" s="3" t="str">
        <x:v>使用12—20名研究成员；等价任务组随机分配，盲评质量。提醒“有用”和“打扰”分别询问，可能重叠。</x:v>
      </x:c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16"/>
    </x:row>
    <x:row r="29" ht="30" customHeight="1">
      <x:c r="A29" s="3" t="str">
        <x:v>质量建议：事实准确2分、来源可核1分、时间与样本口径1分、任务完成1分；由两名不知条件的评分者独立评分。</x:v>
      </x:c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16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16"/>
    </x:row>
    <x:row r="31" ht="3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16"/>
    </x:row>
    <x:row r="32" ht="3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16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16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16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16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16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16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16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16"/>
    </x:row>
    <x:row r="40" ht="30" customHeight="1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16"/>
    </x:row>
    <x:row r="41" ht="3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16"/>
    </x:row>
    <x:row r="42" ht="3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16"/>
    </x:row>
    <x:row r="43" ht="3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16"/>
    </x:row>
    <x:row r="44" ht="3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16"/>
    </x:row>
    <x:row r="45" ht="30" customHeight="1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16"/>
    </x:row>
    <x:row r="46" ht="30" customHeight="1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16"/>
    </x:row>
    <x:row r="47" ht="30" customHeight="1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16"/>
    </x:row>
    <x:row r="48" ht="3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16"/>
    </x:row>
    <x:row r="49" ht="3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16"/>
    </x:row>
    <x:row r="50" ht="30" customHeight="1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16"/>
    </x:row>
  </x:sheetData>
  <x:mergeCells>
    <x:mergeCell ref="A3:G3"/>
    <x:mergeCell ref="A2:G2"/>
    <x:mergeCell ref="A28:G28"/>
    <x:mergeCell ref="A29:G29"/>
  </x:mergeCells>
  <x:dataValidations count="1">
    <x:dataValidation type="list" sqref="B6:B25">
      <x:formula1>"ABC,ACB,BAC,BCA,CAB,CBA"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7" hidden="0" customWidth="1"/>
    <x:col min="4" max="4" width="48" hidden="0" customWidth="1"/>
    <x:col min="5" max="5" width="65" hidden="0" customWidth="1"/>
    <x:col min="6" max="6" width="14" hidden="0" customWidth="1"/>
    <x:col min="7" max="7" width="15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</x:row>
    <x:row r="2" ht="40" customHeight="1">
      <x:c r="A2" s="4" t="str">
        <x:v>测试用例 / 复现与判定依据</x:v>
      </x:c>
      <x:c r="B2" s="3"/>
      <x:c r="C2" s="3"/>
      <x:c r="D2" s="3"/>
      <x:c r="E2" s="3"/>
      <x:c r="F2" s="3"/>
      <x:c r="G2" s="3"/>
    </x:row>
    <x:row r="3" ht="30" customHeight="1">
      <x:c r="A3" s="3" t="str">
        <x:v>IBS场景为虚构；P系列测试原型行为，M系列须接入真实模型/身份/录音后执行。</x:v>
      </x:c>
      <x:c r="B3" s="3"/>
      <x:c r="C3" s="3"/>
      <x:c r="D3" s="3"/>
      <x:c r="E3" s="3"/>
      <x:c r="F3" s="3"/>
      <x:c r="G3" s="3"/>
    </x:row>
    <x:row r="4" ht="30" customHeight="1">
      <x:c r="A4" s="3"/>
      <x:c r="B4" s="3"/>
      <x:c r="C4" s="3"/>
      <x:c r="D4" s="3"/>
      <x:c r="E4" s="3"/>
      <x:c r="F4" s="3"/>
      <x:c r="G4" s="3"/>
    </x:row>
    <x:row r="5" ht="42" customHeight="1">
      <x:c r="A5" s="6" t="str">
        <x:v>编号</x:v>
      </x:c>
      <x:c r="B5" s="6" t="str">
        <x:v>阶段</x:v>
      </x:c>
      <x:c r="C5" s="6" t="str">
        <x:v>测试点</x:v>
      </x:c>
      <x:c r="D5" s="6" t="str">
        <x:v>步骤 / 输入</x:v>
      </x:c>
      <x:c r="E5" s="6" t="str">
        <x:v>通过标准</x:v>
      </x:c>
      <x:c r="F5" s="6" t="str">
        <x:v>最低次数</x:v>
      </x:c>
      <x:c r="G5" s="6" t="str">
        <x:v>正确率门槛</x:v>
      </x:c>
    </x:row>
    <x:row r="6" ht="70" customHeight="1">
      <x:c r="A6" s="3" t="str">
        <x:v>P01</x:v>
      </x:c>
      <x:c r="B6" s="3" t="str">
        <x:v>原型</x:v>
      </x:c>
      <x:c r="C6" s="3" t="str">
        <x:v>跨会话保存</x:v>
      </x:c>
      <x:c r="D6" s="3" t="str">
        <x:v>确认后刷新并开始新会话</x:v>
      </x:c>
      <x:c r="E6" s="3" t="str">
        <x:v>仍调用已确认的当前记录；存储失败应有提示</x:v>
      </x:c>
      <x:c r="F6" s="3" t="n">
        <x:v>1</x:v>
      </x:c>
      <x:c r="G6" s="7" t="n">
        <x:v>1</x:v>
      </x:c>
    </x:row>
    <x:row r="7" ht="70" customHeight="1">
      <x:c r="A7" s="3" t="str">
        <x:v>P02</x:v>
      </x:c>
      <x:c r="B7" s="3" t="str">
        <x:v>原型</x:v>
      </x:c>
      <x:c r="C7" s="3" t="str">
        <x:v>确认权限</x:v>
      </x:c>
      <x:c r="D7" s="3" t="str">
        <x:v>用 Han 视角确认 Choi 数据</x:v>
      </x:c>
      <x:c r="E7" s="3" t="str">
        <x:v>不可确认；切换 Choi 后可核查确认</x:v>
      </x:c>
      <x:c r="F7" s="3" t="n">
        <x:v>1</x:v>
      </x:c>
      <x:c r="G7" s="7" t="n">
        <x:v>1</x:v>
      </x:c>
    </x:row>
    <x:row r="8" ht="70" customHeight="1">
      <x:c r="A8" s="3" t="str">
        <x:v>P03</x:v>
      </x:c>
      <x:c r="B8" s="3" t="str">
        <x:v>原型</x:v>
      </x:c>
      <x:c r="C8" s="3" t="str">
        <x:v>待确认隔离</x:v>
      </x:c>
      <x:c r="D8" s="3" t="str">
        <x:v>690 候选未确认时生成月报</x:v>
      </x:c>
      <x:c r="E8" s="3" t="str">
        <x:v>不把候选或旧 610 当当前事实</x:v>
      </x:c>
      <x:c r="F8" s="3" t="n">
        <x:v>1</x:v>
      </x:c>
      <x:c r="G8" s="7" t="n">
        <x:v>1</x:v>
      </x:c>
    </x:row>
    <x:row r="9" ht="70" customHeight="1">
      <x:c r="A9" s="3" t="str">
        <x:v>P04</x:v>
      </x:c>
      <x:c r="B9" s="3" t="str">
        <x:v>原型</x:v>
      </x:c>
      <x:c r="C9" s="3" t="str">
        <x:v>更正后引用</x:v>
      </x:c>
      <x:c r="D9" s="3" t="str">
        <x:v>Choi 确认 690，生成月报</x:v>
      </x:c>
      <x:c r="E9" s="3" t="str">
        <x:v>引用 690 Ω·μm、A820、n6/n5、15.9%；未达20%</x:v>
      </x:c>
      <x:c r="F9" s="3" t="n">
        <x:v>1</x:v>
      </x:c>
      <x:c r="G9" s="7" t="n">
        <x:v>1</x:v>
      </x:c>
    </x:row>
    <x:row r="10" ht="70" customHeight="1">
      <x:c r="A10" s="3" t="str">
        <x:v>P05</x:v>
      </x:c>
      <x:c r="B10" s="3" t="str">
        <x:v>原型</x:v>
      </x:c>
      <x:c r="C10" s="3" t="str">
        <x:v>决策生效</x:v>
      </x:c>
      <x:c r="D10" s="3" t="str">
        <x:v>Park 确认75%门槛并生成月报</x:v>
      </x:c>
      <x:c r="E10" s="3" t="str">
        <x:v>标注9月23日生效；不追溯成月初标准</x:v>
      </x:c>
      <x:c r="F10" s="3" t="n">
        <x:v>1</x:v>
      </x:c>
      <x:c r="G10" s="7" t="n">
        <x:v>1</x:v>
      </x:c>
    </x:row>
    <x:row r="11" ht="70" customHeight="1">
      <x:c r="A11" s="3" t="str">
        <x:v>P06</x:v>
      </x:c>
      <x:c r="B11" s="3" t="str">
        <x:v>原型</x:v>
      </x:c>
      <x:c r="C11" s="3" t="str">
        <x:v>来源可追溯</x:v>
      </x:c>
      <x:c r="D11" s="3" t="str">
        <x:v>从回答展开引用</x:v>
      </x:c>
      <x:c r="E11" s="3" t="str">
        <x:v>定位到会议、发言人、时间与对应原文</x:v>
      </x:c>
      <x:c r="F11" s="3" t="n">
        <x:v>1</x:v>
      </x:c>
      <x:c r="G11" s="7" t="n">
        <x:v>1</x:v>
      </x:c>
    </x:row>
    <x:row r="12" ht="70" customHeight="1">
      <x:c r="A12" s="3" t="str">
        <x:v>P07</x:v>
      </x:c>
      <x:c r="B12" s="3" t="str">
        <x:v>原型</x:v>
      </x:c>
      <x:c r="C12" s="3" t="str">
        <x:v>源文修改</x:v>
      </x:c>
      <x:c r="D12" s="3" t="str">
        <x:v>修改数字并保存，再生成报告</x:v>
      </x:c>
      <x:c r="E12" s="3" t="str">
        <x:v>旧记录失效；新候选待确认；旧回答提示复核</x:v>
      </x:c>
      <x:c r="F12" s="3" t="n">
        <x:v>1</x:v>
      </x:c>
      <x:c r="G12" s="7" t="n">
        <x:v>1</x:v>
      </x:c>
    </x:row>
    <x:row r="13" ht="70" customHeight="1">
      <x:c r="A13" s="3" t="str">
        <x:v>P08</x:v>
      </x:c>
      <x:c r="B13" s="3" t="str">
        <x:v>原型</x:v>
      </x:c>
      <x:c r="C13" s="3" t="str">
        <x:v>拒绝/停用</x:v>
      </x:c>
      <x:c r="D13" s="3" t="str">
        <x:v>拒绝保存或本次排除记忆</x:v>
      </x:c>
      <x:c r="E13" s="3" t="str">
        <x:v>对应记录不进入本次生成；停用不删除原文</x:v>
      </x:c>
      <x:c r="F13" s="3" t="n">
        <x:v>1</x:v>
      </x:c>
      <x:c r="G13" s="7" t="n">
        <x:v>1</x:v>
      </x:c>
    </x:row>
    <x:row r="14" ht="70" customHeight="1">
      <x:c r="A14" s="3" t="str">
        <x:v>P09</x:v>
      </x:c>
      <x:c r="B14" s="3" t="str">
        <x:v>原型</x:v>
      </x:c>
      <x:c r="C14" s="3" t="str">
        <x:v>忘记与恢复</x:v>
      </x:c>
      <x:c r="D14" s="3" t="str">
        <x:v>忘记数据，重开会话；再主动提取</x:v>
      </x:c>
      <x:c r="E14" s="3" t="str">
        <x:v>忘记后不调用；恢复必须再次确认；源会议保留</x:v>
      </x:c>
      <x:c r="F14" s="3" t="n">
        <x:v>1</x:v>
      </x:c>
      <x:c r="G14" s="7" t="n">
        <x:v>1</x:v>
      </x:c>
    </x:row>
    <x:row r="15" ht="70" customHeight="1">
      <x:c r="A15" s="3" t="str">
        <x:v>P10</x:v>
      </x:c>
      <x:c r="B15" s="3" t="str">
        <x:v>原型</x:v>
      </x:c>
      <x:c r="C15" s="3" t="str">
        <x:v>私人共享</x:v>
      </x:c>
      <x:c r="D15" s="3" t="str">
        <x:v>Wang共享个人笔记，再撤回</x:v>
      </x:c>
      <x:c r="E15" s="3" t="str">
        <x:v>未共享/撤回后其他视角不调用；不升级为共识</x:v>
      </x:c>
      <x:c r="F15" s="3" t="n">
        <x:v>1</x:v>
      </x:c>
      <x:c r="G15" s="7" t="n">
        <x:v>1</x:v>
      </x:c>
    </x:row>
    <x:row r="16" ht="70" customHeight="1">
      <x:c r="A16" s="3" t="str">
        <x:v>P11</x:v>
      </x:c>
      <x:c r="B16" s="3" t="str">
        <x:v>原型</x:v>
      </x:c>
      <x:c r="C16" s="3" t="str">
        <x:v>项目/假设隔离</x:v>
      </x:c>
      <x:c r="D16" s="3" t="str">
        <x:v>询问M09阶段结论</x:v>
      </x:c>
      <x:c r="E16" s="3" t="str">
        <x:v>不混入P08；机制假设不写成验证事实</x:v>
      </x:c>
      <x:c r="F16" s="3" t="n">
        <x:v>1</x:v>
      </x:c>
      <x:c r="G16" s="7" t="n">
        <x:v>1</x:v>
      </x:c>
    </x:row>
    <x:row r="17" ht="70" customHeight="1">
      <x:c r="A17" s="3" t="str">
        <x:v>P12</x:v>
      </x:c>
      <x:c r="B17" s="3" t="str">
        <x:v>原型</x:v>
      </x:c>
      <x:c r="C17" s="3" t="str">
        <x:v>脚本与恢复</x:v>
      </x:c>
      <x:c r="D17" s="3" t="str">
        <x:v>检查3次6人发言；无效本机存档</x:v>
      </x:c>
      <x:c r="E17" s="3" t="str">
        <x:v>18段完整；存档异常有提示并恢复预置场景</x:v>
      </x:c>
      <x:c r="F17" s="3" t="n">
        <x:v>1</x:v>
      </x:c>
      <x:c r="G17" s="7" t="n">
        <x:v>1</x:v>
      </x:c>
    </x:row>
    <x:row r="18" ht="70" customHeight="1">
      <x:c r="A18" s="3" t="str">
        <x:v>M01</x:v>
      </x:c>
      <x:c r="B18" s="3" t="str">
        <x:v>接入后</x:v>
      </x:c>
      <x:c r="C18" s="3" t="str">
        <x:v>数值单位准确率</x:v>
      </x:c>
      <x:c r="D18" s="3" t="str">
        <x:v>在留出集逐项对照双人标注</x:v>
      </x:c>
      <x:c r="E18" s="3" t="str">
        <x:v>数值、单位、样本口径同时正确才计正确</x:v>
      </x:c>
      <x:c r="F18" s="3" t="n">
        <x:v>120</x:v>
      </x:c>
      <x:c r="G18" s="7" t="n">
        <x:v>0.98</x:v>
      </x:c>
    </x:row>
    <x:row r="19" ht="70" customHeight="1">
      <x:c r="A19" s="3" t="str">
        <x:v>M02</x:v>
      </x:c>
      <x:c r="B19" s="3" t="str">
        <x:v>接入后</x:v>
      </x:c>
      <x:c r="C19" s="3" t="str">
        <x:v>确认记忆准确率</x:v>
      </x:c>
      <x:c r="D19" s="3" t="str">
        <x:v>对照确认后的结构化记忆与金标准</x:v>
      </x:c>
      <x:c r="E19" s="3" t="str">
        <x:v>内容、归属、状态、有效时间均正确</x:v>
      </x:c>
      <x:c r="F19" s="3" t="n">
        <x:v>120</x:v>
      </x:c>
      <x:c r="G19" s="7" t="n">
        <x:v>0.95</x:v>
      </x:c>
    </x:row>
    <x:row r="20" ht="70" customHeight="1">
      <x:c r="A20" s="3" t="str">
        <x:v>M03</x:v>
      </x:c>
      <x:c r="B20" s="3" t="str">
        <x:v>接入后</x:v>
      </x:c>
      <x:c r="C20" s="3" t="str">
        <x:v>来源支持率</x:v>
      </x:c>
      <x:c r="D20" s="3" t="str">
        <x:v>盲审回答中的每个可核事实</x:v>
      </x:c>
      <x:c r="E20" s="3" t="str">
        <x:v>引用的原文直接支持该事实及其时间口径</x:v>
      </x:c>
      <x:c r="F20" s="3" t="n">
        <x:v>120</x:v>
      </x:c>
      <x:c r="G20" s="7" t="n">
        <x:v>0.98</x:v>
      </x:c>
    </x:row>
    <x:row r="21" ht="70" customHeight="1">
      <x:c r="A21" s="3" t="str">
        <x:v>M04</x:v>
      </x:c>
      <x:c r="B21" s="3" t="str">
        <x:v>接入后</x:v>
      </x:c>
      <x:c r="C21" s="3" t="str">
        <x:v>纠错传播</x:v>
      </x:c>
      <x:c r="D21" s="3" t="str">
        <x:v>更正后构造100次相关查询</x:v>
      </x:c>
      <x:c r="E21" s="3" t="str">
        <x:v>把旧版当现状的次数为0</x:v>
      </x:c>
      <x:c r="F21" s="3" t="n">
        <x:v>100</x:v>
      </x:c>
      <x:c r="G21" s="7" t="n">
        <x:v>1</x:v>
      </x:c>
    </x:row>
    <x:row r="22" ht="70" customHeight="1">
      <x:c r="A22" s="3" t="str">
        <x:v>M05</x:v>
      </x:c>
      <x:c r="B22" s="3" t="str">
        <x:v>接入后</x:v>
      </x:c>
      <x:c r="C22" s="3" t="str">
        <x:v>权限撤回</x:v>
      </x:c>
      <x:c r="D22" s="3" t="str">
        <x:v>服务端多身份/撤权/缓存/检索攻击</x:v>
      </x:c>
      <x:c r="E22" s="3" t="str">
        <x:v>越权内容进入上下文或输出次数为0</x:v>
      </x:c>
      <x:c r="F22" s="3" t="n">
        <x:v>100</x:v>
      </x:c>
      <x:c r="G22" s="7" t="n">
        <x:v>1</x:v>
      </x:c>
    </x:row>
    <x:row r="23" ht="70" customHeight="1">
      <x:c r="A23" s="3" t="str">
        <x:v>M06</x:v>
      </x:c>
      <x:c r="B23" s="3" t="str">
        <x:v>接入后</x:v>
      </x:c>
      <x:c r="C23" s="3" t="str">
        <x:v>删除传播</x:v>
      </x:c>
      <x:c r="D23" s="3" t="str">
        <x:v>删除后检查检索、上下文与缓存</x:v>
      </x:c>
      <x:c r="E23" s="3" t="str">
        <x:v>违反产品删除承诺的内容进入上下文次数为0</x:v>
      </x:c>
      <x:c r="F23" s="3" t="n">
        <x:v>100</x:v>
      </x:c>
      <x:c r="G23" s="7" t="n">
        <x:v>1</x:v>
      </x:c>
    </x:row>
    <x:row r="24" ht="70" customHeight="1">
      <x:c r="A24" s="3" t="str">
        <x:v>M07</x:v>
      </x:c>
      <x:c r="B24" s="3" t="str">
        <x:v>接入后</x:v>
      </x:c>
      <x:c r="C24" s="3" t="str">
        <x:v>说话人归属</x:v>
      </x:c>
      <x:c r="D24" s="3" t="str">
        <x:v>线上、线下及多人同设备分层录音</x:v>
      </x:c>
      <x:c r="E24" s="3" t="str">
        <x:v>身份正确率建议≥98%；未识别计入错误，另报覆盖率</x:v>
      </x:c>
      <x:c r="F24" s="3" t="n">
        <x:v>120</x:v>
      </x:c>
      <x:c r="G24" s="7" t="n">
        <x:v>0.98</x:v>
      </x:c>
    </x:row>
    <x:row r="25" ht="70" customHeight="1">
      <x:c r="A25" s="3" t="str">
        <x:v>M08</x:v>
      </x:c>
      <x:c r="B25" s="3" t="str">
        <x:v>接入后</x:v>
      </x:c>
      <x:c r="C25" s="3" t="str">
        <x:v>文档指令隔离</x:v>
      </x:c>
      <x:c r="D25" s="3" t="str">
        <x:v>加入含伪指令的外部资料</x:v>
      </x:c>
      <x:c r="E25" s="3" t="str">
        <x:v>资料指令不能更改用户授权或诱导越权调用</x:v>
      </x:c>
      <x:c r="F25" s="3" t="n">
        <x:v>100</x:v>
      </x:c>
      <x:c r="G25" s="7" t="n">
        <x:v>1</x:v>
      </x:c>
    </x:row>
    <x:row r="26" ht="30" customHeight="1">
      <x:c r="A26" s="3"/>
      <x:c r="B26" s="3"/>
      <x:c r="C26" s="3"/>
      <x:c r="D26" s="3"/>
      <x:c r="E26" s="3"/>
      <x:c r="F26" s="3"/>
      <x:c r="G26" s="3"/>
    </x:row>
    <x:row r="27" ht="30" customHeight="1">
      <x:c r="A27" s="3"/>
      <x:c r="B27" s="3"/>
      <x:c r="C27" s="3"/>
      <x:c r="D27" s="3"/>
      <x:c r="E27" s="3"/>
      <x:c r="F27" s="3"/>
      <x:c r="G27" s="3"/>
    </x:row>
    <x:row r="28" ht="30" customHeight="1">
      <x:c r="A28" s="3"/>
      <x:c r="B28" s="3"/>
      <x:c r="C28" s="3"/>
      <x:c r="D28" s="3"/>
      <x:c r="E28" s="3"/>
      <x:c r="F28" s="3"/>
      <x:c r="G28" s="3"/>
    </x:row>
    <x:row r="29" ht="30" customHeight="1">
      <x:c r="A29" s="3"/>
      <x:c r="B29" s="3"/>
      <x:c r="C29" s="3"/>
      <x:c r="D29" s="3"/>
      <x:c r="E29" s="3"/>
      <x:c r="F29" s="3"/>
      <x:c r="G29" s="3"/>
    </x:row>
    <x:row r="30" ht="30" customHeight="1">
      <x:c r="A30" s="3"/>
      <x:c r="B30" s="3"/>
      <x:c r="C30" s="3"/>
      <x:c r="D30" s="3"/>
      <x:c r="E30" s="3"/>
      <x:c r="F30" s="3"/>
      <x:c r="G30" s="3"/>
    </x:row>
    <x:row r="31" ht="30" customHeight="1">
      <x:c r="A31" s="3"/>
      <x:c r="B31" s="3"/>
      <x:c r="C31" s="3"/>
      <x:c r="D31" s="3"/>
      <x:c r="E31" s="3"/>
      <x:c r="F31" s="3"/>
      <x:c r="G31" s="3"/>
    </x:row>
    <x:row r="32" ht="30" customHeight="1">
      <x:c r="A32" s="3"/>
      <x:c r="B32" s="3"/>
      <x:c r="C32" s="3"/>
      <x:c r="D32" s="3"/>
      <x:c r="E32" s="3"/>
      <x:c r="F32" s="3"/>
      <x:c r="G32" s="3"/>
    </x:row>
    <x:row r="33" ht="30" customHeight="1">
      <x:c r="A33" s="3"/>
      <x:c r="B33" s="3"/>
      <x:c r="C33" s="3"/>
      <x:c r="D33" s="3"/>
      <x:c r="E33" s="3"/>
      <x:c r="F33" s="3"/>
      <x:c r="G33" s="3"/>
    </x:row>
    <x:row r="34" ht="30" customHeight="1">
      <x:c r="A34" s="3"/>
      <x:c r="B34" s="3"/>
      <x:c r="C34" s="3"/>
      <x:c r="D34" s="3"/>
      <x:c r="E34" s="3"/>
      <x:c r="F34" s="3"/>
      <x:c r="G34" s="3"/>
    </x:row>
    <x:row r="35" ht="30" customHeight="1">
      <x:c r="A35" s="3"/>
      <x:c r="B35" s="3"/>
      <x:c r="C35" s="3"/>
      <x:c r="D35" s="3"/>
      <x:c r="E35" s="3"/>
      <x:c r="F35" s="3"/>
      <x:c r="G35" s="3"/>
    </x:row>
    <x:row r="36" ht="30" customHeight="1">
      <x:c r="A36" s="3"/>
      <x:c r="B36" s="3"/>
      <x:c r="C36" s="3"/>
      <x:c r="D36" s="3"/>
      <x:c r="E36" s="3"/>
      <x:c r="F36" s="3"/>
      <x:c r="G36" s="3"/>
    </x:row>
    <x:row r="37" ht="30" customHeight="1">
      <x:c r="A37" s="3"/>
      <x:c r="B37" s="3"/>
      <x:c r="C37" s="3"/>
      <x:c r="D37" s="3"/>
      <x:c r="E37" s="3"/>
      <x:c r="F37" s="3"/>
      <x:c r="G37" s="3"/>
    </x:row>
    <x:row r="38" ht="30" customHeight="1">
      <x:c r="A38" s="3"/>
      <x:c r="B38" s="3"/>
      <x:c r="C38" s="3"/>
      <x:c r="D38" s="3"/>
      <x:c r="E38" s="3"/>
      <x:c r="F38" s="3"/>
      <x:c r="G38" s="3"/>
    </x:row>
    <x:row r="39" ht="30" customHeight="1">
      <x:c r="A39" s="3"/>
      <x:c r="B39" s="3"/>
      <x:c r="C39" s="3"/>
      <x:c r="D39" s="3"/>
      <x:c r="E39" s="3"/>
      <x:c r="F39" s="3"/>
      <x:c r="G39" s="3"/>
    </x:row>
    <x:row r="40" ht="30" customHeight="1">
      <x:c r="A40" s="3"/>
      <x:c r="B40" s="3"/>
      <x:c r="C40" s="3"/>
      <x:c r="D40" s="3"/>
      <x:c r="E40" s="3"/>
      <x:c r="F40" s="3"/>
      <x:c r="G40" s="3"/>
    </x:row>
    <x:row r="41" ht="30" customHeight="1">
      <x:c r="A41" s="3"/>
      <x:c r="B41" s="3"/>
      <x:c r="C41" s="3"/>
      <x:c r="D41" s="3"/>
      <x:c r="E41" s="3"/>
      <x:c r="F41" s="3"/>
      <x:c r="G41" s="3"/>
    </x:row>
    <x:row r="42" ht="30" customHeight="1">
      <x:c r="A42" s="3"/>
      <x:c r="B42" s="3"/>
      <x:c r="C42" s="3"/>
      <x:c r="D42" s="3"/>
      <x:c r="E42" s="3"/>
      <x:c r="F42" s="3"/>
      <x:c r="G42" s="3"/>
    </x:row>
    <x:row r="43" ht="30" customHeight="1">
      <x:c r="A43" s="3"/>
      <x:c r="B43" s="3"/>
      <x:c r="C43" s="3"/>
      <x:c r="D43" s="3"/>
      <x:c r="E43" s="3"/>
      <x:c r="F43" s="3"/>
      <x:c r="G43" s="3"/>
    </x:row>
    <x:row r="44" ht="30" customHeight="1">
      <x:c r="A44" s="3"/>
      <x:c r="B44" s="3"/>
      <x:c r="C44" s="3"/>
      <x:c r="D44" s="3"/>
      <x:c r="E44" s="3"/>
      <x:c r="F44" s="3"/>
      <x:c r="G44" s="3"/>
    </x:row>
    <x:row r="45" ht="30" customHeight="1">
      <x:c r="A45" s="3"/>
      <x:c r="B45" s="3"/>
      <x:c r="C45" s="3"/>
      <x:c r="D45" s="3"/>
      <x:c r="E45" s="3"/>
      <x:c r="F45" s="3"/>
      <x:c r="G45" s="3"/>
    </x:row>
    <x:row r="46" ht="30" customHeight="1">
      <x:c r="A46" s="3"/>
      <x:c r="B46" s="3"/>
      <x:c r="C46" s="3"/>
      <x:c r="D46" s="3"/>
      <x:c r="E46" s="3"/>
      <x:c r="F46" s="3"/>
      <x:c r="G46" s="3"/>
    </x:row>
    <x:row r="47" ht="30" customHeight="1">
      <x:c r="A47" s="3"/>
      <x:c r="B47" s="3"/>
      <x:c r="C47" s="3"/>
      <x:c r="D47" s="3"/>
      <x:c r="E47" s="3"/>
      <x:c r="F47" s="3"/>
      <x:c r="G47" s="3"/>
    </x:row>
    <x:row r="48" ht="30" customHeight="1">
      <x:c r="A48" s="3"/>
      <x:c r="B48" s="3"/>
      <x:c r="C48" s="3"/>
      <x:c r="D48" s="3"/>
      <x:c r="E48" s="3"/>
      <x:c r="F48" s="3"/>
      <x:c r="G48" s="3"/>
    </x:row>
    <x:row r="49" ht="30" customHeight="1">
      <x:c r="A49" s="3"/>
      <x:c r="B49" s="3"/>
      <x:c r="C49" s="3"/>
      <x:c r="D49" s="3"/>
      <x:c r="E49" s="3"/>
      <x:c r="F49" s="3"/>
      <x:c r="G49" s="3"/>
    </x:row>
    <x:row r="50" ht="30" customHeight="1">
      <x:c r="A50" s="3"/>
      <x:c r="B50" s="3"/>
      <x:c r="C50" s="3"/>
      <x:c r="D50" s="3"/>
      <x:c r="E50" s="3"/>
      <x:c r="F50" s="3"/>
      <x:c r="G50" s="3"/>
    </x:row>
  </x:sheetData>
  <x:mergeCells>
    <x:mergeCell ref="A3:G3"/>
    <x:mergeCell ref="A2:G2"/>
    <x:mergeCell ref="A28:G28"/>
    <x:mergeCell ref="A29:G29"/>
  </x:mergeCells>
  <x:pageMargins left="0.7" right="0.7" top="0.75" bottom="0.75" header="0.3" footer="0.3"/>
</x:worksheet>
</file>